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\Dropbox\The Dan\DAN Fund\"/>
    </mc:Choice>
  </mc:AlternateContent>
  <xr:revisionPtr revIDLastSave="0" documentId="13_ncr:1_{49928C6A-0543-4824-B1E5-7A07C6F35FF7}" xr6:coauthVersionLast="47" xr6:coauthVersionMax="47" xr10:uidLastSave="{00000000-0000-0000-0000-000000000000}"/>
  <bookViews>
    <workbookView xWindow="-120" yWindow="-120" windowWidth="29040" windowHeight="15720" xr2:uid="{CEF1BCD3-C917-4032-80A5-96FA6860C0F4}"/>
  </bookViews>
  <sheets>
    <sheet name="MRR Math" sheetId="1" r:id="rId1"/>
  </sheets>
  <definedNames>
    <definedName name="_xlnm._FilterDatabase" localSheetId="0" hidden="1">'MRR Math'!$B$4:$FM$7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H261" i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AG261" i="1" s="1"/>
  <c r="AH261" i="1" s="1"/>
  <c r="AI261" i="1" s="1"/>
  <c r="AJ261" i="1" s="1"/>
  <c r="AK261" i="1" s="1"/>
  <c r="AL261" i="1" s="1"/>
  <c r="AM261" i="1" s="1"/>
  <c r="AN261" i="1" s="1"/>
  <c r="AO261" i="1" s="1"/>
  <c r="AP261" i="1" s="1"/>
  <c r="AQ261" i="1" s="1"/>
  <c r="AR261" i="1" s="1"/>
  <c r="AS261" i="1" s="1"/>
  <c r="AT261" i="1" s="1"/>
  <c r="AU261" i="1" s="1"/>
  <c r="AV261" i="1" s="1"/>
  <c r="AW261" i="1" s="1"/>
  <c r="AX261" i="1" s="1"/>
  <c r="AY261" i="1" s="1"/>
  <c r="AZ261" i="1" s="1"/>
  <c r="BA261" i="1" s="1"/>
  <c r="BB261" i="1" s="1"/>
  <c r="BC261" i="1" s="1"/>
  <c r="BD261" i="1" s="1"/>
  <c r="BE261" i="1" s="1"/>
  <c r="BF261" i="1" s="1"/>
  <c r="BG261" i="1" s="1"/>
  <c r="BH261" i="1" s="1"/>
  <c r="BI261" i="1" s="1"/>
  <c r="BJ261" i="1" s="1"/>
  <c r="BK261" i="1" s="1"/>
  <c r="BL261" i="1" s="1"/>
  <c r="BM261" i="1" s="1"/>
  <c r="BN261" i="1" s="1"/>
  <c r="BO261" i="1" s="1"/>
  <c r="BP261" i="1" s="1"/>
  <c r="BQ261" i="1" s="1"/>
  <c r="BR261" i="1" s="1"/>
  <c r="BS261" i="1" s="1"/>
  <c r="BT261" i="1" s="1"/>
  <c r="BU261" i="1" s="1"/>
  <c r="BV261" i="1" s="1"/>
  <c r="BW261" i="1" s="1"/>
  <c r="BX261" i="1" s="1"/>
  <c r="BY261" i="1" s="1"/>
  <c r="BZ261" i="1" s="1"/>
  <c r="CA261" i="1" s="1"/>
  <c r="CB261" i="1" s="1"/>
  <c r="CC261" i="1" s="1"/>
  <c r="CD261" i="1" s="1"/>
  <c r="CE261" i="1" s="1"/>
  <c r="CF261" i="1" s="1"/>
  <c r="CG261" i="1" s="1"/>
  <c r="CH261" i="1" s="1"/>
  <c r="CI261" i="1" s="1"/>
  <c r="CJ261" i="1" s="1"/>
  <c r="CK261" i="1" s="1"/>
  <c r="CL261" i="1" s="1"/>
  <c r="CM261" i="1" s="1"/>
  <c r="CN261" i="1" s="1"/>
  <c r="CO261" i="1" s="1"/>
  <c r="CP261" i="1" s="1"/>
  <c r="CQ261" i="1" s="1"/>
  <c r="CR261" i="1" s="1"/>
  <c r="CS261" i="1" s="1"/>
  <c r="CT261" i="1" s="1"/>
  <c r="CU261" i="1" s="1"/>
  <c r="CV261" i="1" s="1"/>
  <c r="CW261" i="1" s="1"/>
  <c r="CX261" i="1" s="1"/>
  <c r="CY261" i="1" s="1"/>
  <c r="CZ261" i="1" s="1"/>
  <c r="DA261" i="1" s="1"/>
  <c r="DB261" i="1" s="1"/>
  <c r="DC261" i="1" s="1"/>
  <c r="DD261" i="1" s="1"/>
  <c r="DE261" i="1" s="1"/>
  <c r="DF261" i="1" s="1"/>
  <c r="DG261" i="1" s="1"/>
  <c r="DH261" i="1" s="1"/>
  <c r="DI261" i="1" s="1"/>
  <c r="DJ261" i="1" s="1"/>
  <c r="DK261" i="1" s="1"/>
  <c r="DL261" i="1" s="1"/>
  <c r="DM261" i="1" s="1"/>
  <c r="DN261" i="1" s="1"/>
  <c r="DO261" i="1" s="1"/>
  <c r="DP261" i="1" s="1"/>
  <c r="DQ261" i="1" s="1"/>
  <c r="DR261" i="1" s="1"/>
  <c r="DS261" i="1" s="1"/>
  <c r="DT261" i="1" s="1"/>
  <c r="DU261" i="1" s="1"/>
  <c r="DV261" i="1" s="1"/>
  <c r="DW261" i="1" s="1"/>
  <c r="DX261" i="1" s="1"/>
  <c r="DY261" i="1" s="1"/>
  <c r="DZ261" i="1" s="1"/>
  <c r="EA261" i="1" s="1"/>
  <c r="EB261" i="1" s="1"/>
  <c r="EC261" i="1" s="1"/>
  <c r="ED261" i="1" s="1"/>
  <c r="EE261" i="1" s="1"/>
  <c r="EF261" i="1" s="1"/>
  <c r="EG261" i="1" s="1"/>
  <c r="EH261" i="1" s="1"/>
  <c r="G263" i="1" a="1"/>
  <c r="G263" i="1" s="1"/>
  <c r="H263" i="1" a="1"/>
  <c r="H263" i="1" s="1"/>
  <c r="I263" i="1" a="1"/>
  <c r="I263" i="1" s="1"/>
  <c r="J263" i="1" a="1"/>
  <c r="J263" i="1" s="1"/>
  <c r="K263" i="1" a="1"/>
  <c r="K263" i="1" s="1"/>
  <c r="L263" i="1" a="1"/>
  <c r="L263" i="1" s="1"/>
  <c r="M263" i="1" a="1"/>
  <c r="M263" i="1" s="1"/>
  <c r="N263" i="1" a="1"/>
  <c r="N263" i="1" s="1"/>
  <c r="O263" i="1" a="1"/>
  <c r="O263" i="1" s="1"/>
  <c r="P263" i="1" a="1"/>
  <c r="P263" i="1" s="1"/>
  <c r="Q263" i="1" a="1"/>
  <c r="Q263" i="1" s="1"/>
  <c r="R263" i="1" a="1"/>
  <c r="R263" i="1" s="1"/>
  <c r="S263" i="1" a="1"/>
  <c r="S263" i="1" s="1"/>
  <c r="T263" i="1" a="1"/>
  <c r="T263" i="1" s="1"/>
  <c r="U263" i="1" a="1"/>
  <c r="U263" i="1" s="1"/>
  <c r="V263" i="1" a="1"/>
  <c r="V263" i="1" s="1"/>
  <c r="W263" i="1" a="1"/>
  <c r="W263" i="1" s="1"/>
  <c r="X263" i="1" a="1"/>
  <c r="X263" i="1" s="1"/>
  <c r="Y263" i="1" a="1"/>
  <c r="Y263" i="1" s="1"/>
  <c r="Z263" i="1" a="1"/>
  <c r="Z263" i="1" s="1"/>
  <c r="AA263" i="1" a="1"/>
  <c r="AA263" i="1" s="1"/>
  <c r="AB263" i="1" a="1"/>
  <c r="AB263" i="1" s="1"/>
  <c r="AC263" i="1" a="1"/>
  <c r="AC263" i="1" s="1"/>
  <c r="AD263" i="1" a="1"/>
  <c r="AD263" i="1" s="1"/>
  <c r="AE263" i="1" a="1"/>
  <c r="AE263" i="1" s="1"/>
  <c r="AF263" i="1" a="1"/>
  <c r="AF263" i="1" s="1"/>
  <c r="AG263" i="1" a="1"/>
  <c r="AG263" i="1" s="1"/>
  <c r="AH263" i="1" a="1"/>
  <c r="AH263" i="1" s="1"/>
  <c r="AI263" i="1" a="1"/>
  <c r="AI263" i="1" s="1"/>
  <c r="AJ263" i="1" a="1"/>
  <c r="AJ263" i="1" s="1"/>
  <c r="AK263" i="1" a="1"/>
  <c r="AK263" i="1" s="1"/>
  <c r="AL263" i="1" a="1"/>
  <c r="AL263" i="1" s="1"/>
  <c r="AM263" i="1" a="1"/>
  <c r="AM263" i="1" s="1"/>
  <c r="AN263" i="1" a="1"/>
  <c r="AN263" i="1" s="1"/>
  <c r="AO263" i="1" a="1"/>
  <c r="AO263" i="1" s="1"/>
  <c r="AP263" i="1" a="1"/>
  <c r="AP263" i="1" s="1"/>
  <c r="AQ263" i="1" a="1"/>
  <c r="AQ263" i="1" s="1"/>
  <c r="AR263" i="1" a="1"/>
  <c r="AR263" i="1" s="1"/>
  <c r="AS263" i="1" a="1"/>
  <c r="AS263" i="1" s="1"/>
  <c r="AT263" i="1" a="1"/>
  <c r="AT263" i="1" s="1"/>
  <c r="AU263" i="1" a="1"/>
  <c r="AU263" i="1" s="1"/>
  <c r="AV263" i="1" a="1"/>
  <c r="AV263" i="1" s="1"/>
  <c r="AW263" i="1" a="1"/>
  <c r="AW263" i="1" s="1"/>
  <c r="AX263" i="1" a="1"/>
  <c r="AX263" i="1" s="1"/>
  <c r="AY263" i="1" a="1"/>
  <c r="AY263" i="1" s="1"/>
  <c r="AZ263" i="1" a="1"/>
  <c r="AZ263" i="1" s="1"/>
  <c r="BA263" i="1" a="1"/>
  <c r="BA263" i="1" s="1"/>
  <c r="BB263" i="1" a="1"/>
  <c r="BB263" i="1" s="1"/>
  <c r="BC263" i="1" a="1"/>
  <c r="BC263" i="1" s="1"/>
  <c r="BD263" i="1" a="1"/>
  <c r="BD263" i="1" s="1"/>
  <c r="BE263" i="1" a="1"/>
  <c r="BE263" i="1" s="1"/>
  <c r="BF263" i="1" a="1"/>
  <c r="BF263" i="1" s="1"/>
  <c r="BG263" i="1" a="1"/>
  <c r="BG263" i="1" s="1"/>
  <c r="BH263" i="1" a="1"/>
  <c r="BH263" i="1" s="1"/>
  <c r="BI263" i="1" a="1"/>
  <c r="BI263" i="1" s="1"/>
  <c r="BJ263" i="1" a="1"/>
  <c r="BJ263" i="1" s="1"/>
  <c r="BK263" i="1" a="1"/>
  <c r="BK263" i="1" s="1"/>
  <c r="BL263" i="1" a="1"/>
  <c r="BL263" i="1" s="1"/>
  <c r="BM263" i="1" a="1"/>
  <c r="BM263" i="1" s="1"/>
  <c r="BN263" i="1" a="1"/>
  <c r="BN263" i="1" s="1"/>
  <c r="G264" i="1" a="1"/>
  <c r="G264" i="1" s="1"/>
  <c r="H264" i="1" a="1"/>
  <c r="H264" i="1" s="1"/>
  <c r="I264" i="1" a="1"/>
  <c r="I264" i="1" s="1"/>
  <c r="J264" i="1" a="1"/>
  <c r="J264" i="1" s="1"/>
  <c r="K264" i="1" a="1"/>
  <c r="K264" i="1" s="1"/>
  <c r="L264" i="1" a="1"/>
  <c r="L264" i="1" s="1"/>
  <c r="M264" i="1" a="1"/>
  <c r="M264" i="1" s="1"/>
  <c r="N264" i="1" a="1"/>
  <c r="N264" i="1" s="1"/>
  <c r="O264" i="1" a="1"/>
  <c r="O264" i="1" s="1"/>
  <c r="P264" i="1" a="1"/>
  <c r="P264" i="1" s="1"/>
  <c r="Q264" i="1" a="1"/>
  <c r="Q264" i="1" s="1"/>
  <c r="R264" i="1" a="1"/>
  <c r="R264" i="1" s="1"/>
  <c r="S264" i="1" a="1"/>
  <c r="S264" i="1" s="1"/>
  <c r="T264" i="1" a="1"/>
  <c r="T264" i="1" s="1"/>
  <c r="U264" i="1" a="1"/>
  <c r="U264" i="1" s="1"/>
  <c r="V264" i="1" a="1"/>
  <c r="V264" i="1" s="1"/>
  <c r="W264" i="1" a="1"/>
  <c r="W264" i="1" s="1"/>
  <c r="X264" i="1" a="1"/>
  <c r="X264" i="1" s="1"/>
  <c r="Y264" i="1" a="1"/>
  <c r="Y264" i="1" s="1"/>
  <c r="Z264" i="1" a="1"/>
  <c r="Z264" i="1" s="1"/>
  <c r="AA264" i="1" a="1"/>
  <c r="AA264" i="1" s="1"/>
  <c r="AB264" i="1" a="1"/>
  <c r="AB264" i="1" s="1"/>
  <c r="AC264" i="1" a="1"/>
  <c r="AC264" i="1" s="1"/>
  <c r="AD264" i="1" a="1"/>
  <c r="AD264" i="1" s="1"/>
  <c r="AE264" i="1" a="1"/>
  <c r="AE264" i="1" s="1"/>
  <c r="AF264" i="1" a="1"/>
  <c r="AF264" i="1" s="1"/>
  <c r="AG264" i="1" a="1"/>
  <c r="AG264" i="1" s="1"/>
  <c r="AH264" i="1" a="1"/>
  <c r="AH264" i="1" s="1"/>
  <c r="AI264" i="1" a="1"/>
  <c r="AI264" i="1" s="1"/>
  <c r="AJ264" i="1" a="1"/>
  <c r="AJ264" i="1" s="1"/>
  <c r="AK264" i="1" a="1"/>
  <c r="AK264" i="1" s="1"/>
  <c r="AL264" i="1" a="1"/>
  <c r="AL264" i="1" s="1"/>
  <c r="AM264" i="1" a="1"/>
  <c r="AM264" i="1" s="1"/>
  <c r="AN264" i="1" a="1"/>
  <c r="AN264" i="1" s="1"/>
  <c r="AO264" i="1" a="1"/>
  <c r="AO264" i="1" s="1"/>
  <c r="AP264" i="1" a="1"/>
  <c r="AP264" i="1" s="1"/>
  <c r="AQ264" i="1" a="1"/>
  <c r="AQ264" i="1" s="1"/>
  <c r="AR264" i="1" a="1"/>
  <c r="AR264" i="1" s="1"/>
  <c r="AS264" i="1" a="1"/>
  <c r="AS264" i="1" s="1"/>
  <c r="AT264" i="1" a="1"/>
  <c r="AT264" i="1" s="1"/>
  <c r="AU264" i="1" a="1"/>
  <c r="AU264" i="1" s="1"/>
  <c r="AV264" i="1" a="1"/>
  <c r="AV264" i="1" s="1"/>
  <c r="AW264" i="1" a="1"/>
  <c r="AW264" i="1" s="1"/>
  <c r="AX264" i="1" a="1"/>
  <c r="AX264" i="1" s="1"/>
  <c r="AY264" i="1" a="1"/>
  <c r="AY264" i="1" s="1"/>
  <c r="AZ264" i="1" a="1"/>
  <c r="AZ264" i="1" s="1"/>
  <c r="BA264" i="1" a="1"/>
  <c r="BA264" i="1" s="1"/>
  <c r="BB264" i="1" a="1"/>
  <c r="BB264" i="1" s="1"/>
  <c r="BC264" i="1" a="1"/>
  <c r="BC264" i="1" s="1"/>
  <c r="BD264" i="1" a="1"/>
  <c r="BD264" i="1" s="1"/>
  <c r="BE264" i="1" a="1"/>
  <c r="BE264" i="1" s="1"/>
  <c r="BF264" i="1" a="1"/>
  <c r="BF264" i="1" s="1"/>
  <c r="BG264" i="1" a="1"/>
  <c r="BG264" i="1" s="1"/>
  <c r="BH264" i="1" a="1"/>
  <c r="BH264" i="1" s="1"/>
  <c r="BI264" i="1" a="1"/>
  <c r="BI264" i="1" s="1"/>
  <c r="BJ264" i="1" a="1"/>
  <c r="BJ264" i="1" s="1"/>
  <c r="BK264" i="1" a="1"/>
  <c r="BK264" i="1" s="1"/>
  <c r="BL264" i="1" a="1"/>
  <c r="BL264" i="1" s="1"/>
  <c r="BM264" i="1" a="1"/>
  <c r="BM264" i="1" s="1"/>
  <c r="BN264" i="1" a="1"/>
  <c r="BN264" i="1" s="1"/>
  <c r="G265" i="1" a="1"/>
  <c r="G265" i="1" s="1"/>
  <c r="H265" i="1" a="1"/>
  <c r="H265" i="1" s="1"/>
  <c r="I265" i="1" a="1"/>
  <c r="I265" i="1"/>
  <c r="J265" i="1" a="1"/>
  <c r="J265" i="1" s="1"/>
  <c r="K265" i="1" a="1"/>
  <c r="K265" i="1" s="1"/>
  <c r="L265" i="1" a="1"/>
  <c r="L265" i="1" s="1"/>
  <c r="M265" i="1" a="1"/>
  <c r="M265" i="1" s="1"/>
  <c r="N265" i="1" a="1"/>
  <c r="N265" i="1" s="1"/>
  <c r="O265" i="1" a="1"/>
  <c r="O265" i="1" s="1"/>
  <c r="P265" i="1" a="1"/>
  <c r="P265" i="1" s="1"/>
  <c r="Q265" i="1" a="1"/>
  <c r="Q265" i="1" s="1"/>
  <c r="R265" i="1" a="1"/>
  <c r="R265" i="1" s="1"/>
  <c r="S265" i="1" a="1"/>
  <c r="S265" i="1" s="1"/>
  <c r="T265" i="1" a="1"/>
  <c r="T265" i="1" s="1"/>
  <c r="U265" i="1" a="1"/>
  <c r="U265" i="1" s="1"/>
  <c r="V265" i="1" a="1"/>
  <c r="V265" i="1" s="1"/>
  <c r="W265" i="1" a="1"/>
  <c r="W265" i="1" s="1"/>
  <c r="X265" i="1" a="1"/>
  <c r="X265" i="1" s="1"/>
  <c r="Y265" i="1" a="1"/>
  <c r="Y265" i="1" s="1"/>
  <c r="Z265" i="1" a="1"/>
  <c r="Z265" i="1" s="1"/>
  <c r="AA265" i="1" a="1"/>
  <c r="AA265" i="1" s="1"/>
  <c r="AB265" i="1" a="1"/>
  <c r="AB265" i="1" s="1"/>
  <c r="AC265" i="1" a="1"/>
  <c r="AC265" i="1" s="1"/>
  <c r="AD265" i="1" a="1"/>
  <c r="AD265" i="1" s="1"/>
  <c r="AE265" i="1" a="1"/>
  <c r="AE265" i="1" s="1"/>
  <c r="AF265" i="1" a="1"/>
  <c r="AF265" i="1" s="1"/>
  <c r="AG265" i="1" a="1"/>
  <c r="AG265" i="1" s="1"/>
  <c r="AH265" i="1" a="1"/>
  <c r="AH265" i="1" s="1"/>
  <c r="AI265" i="1" a="1"/>
  <c r="AI265" i="1" s="1"/>
  <c r="AJ265" i="1" a="1"/>
  <c r="AJ265" i="1" s="1"/>
  <c r="AK265" i="1" a="1"/>
  <c r="AK265" i="1" s="1"/>
  <c r="AL265" i="1" a="1"/>
  <c r="AL265" i="1" s="1"/>
  <c r="AM265" i="1" a="1"/>
  <c r="AM265" i="1" s="1"/>
  <c r="AN265" i="1" a="1"/>
  <c r="AN265" i="1" s="1"/>
  <c r="AO265" i="1" a="1"/>
  <c r="AO265" i="1" s="1"/>
  <c r="AP265" i="1" a="1"/>
  <c r="AP265" i="1" s="1"/>
  <c r="AQ265" i="1" a="1"/>
  <c r="AQ265" i="1" s="1"/>
  <c r="AR265" i="1" a="1"/>
  <c r="AR265" i="1" s="1"/>
  <c r="AS265" i="1" a="1"/>
  <c r="AS265" i="1" s="1"/>
  <c r="AT265" i="1" a="1"/>
  <c r="AT265" i="1" s="1"/>
  <c r="AU265" i="1" a="1"/>
  <c r="AU265" i="1" s="1"/>
  <c r="AV265" i="1" a="1"/>
  <c r="AV265" i="1" s="1"/>
  <c r="AW265" i="1" a="1"/>
  <c r="AW265" i="1" s="1"/>
  <c r="AX265" i="1" a="1"/>
  <c r="AX265" i="1" s="1"/>
  <c r="AY265" i="1" a="1"/>
  <c r="AY265" i="1" s="1"/>
  <c r="AZ265" i="1" a="1"/>
  <c r="AZ265" i="1" s="1"/>
  <c r="BA265" i="1" a="1"/>
  <c r="BA265" i="1" s="1"/>
  <c r="BB265" i="1" a="1"/>
  <c r="BB265" i="1" s="1"/>
  <c r="BC265" i="1" a="1"/>
  <c r="BC265" i="1" s="1"/>
  <c r="BD265" i="1" a="1"/>
  <c r="BD265" i="1" s="1"/>
  <c r="BE265" i="1" a="1"/>
  <c r="BE265" i="1" s="1"/>
  <c r="BF265" i="1" a="1"/>
  <c r="BF265" i="1" s="1"/>
  <c r="BG265" i="1" a="1"/>
  <c r="BG265" i="1" s="1"/>
  <c r="BH265" i="1" a="1"/>
  <c r="BH265" i="1" s="1"/>
  <c r="BI265" i="1" a="1"/>
  <c r="BI265" i="1" s="1"/>
  <c r="BJ265" i="1" a="1"/>
  <c r="BJ265" i="1" s="1"/>
  <c r="BK265" i="1" a="1"/>
  <c r="BK265" i="1" s="1"/>
  <c r="BL265" i="1" a="1"/>
  <c r="BL265" i="1" s="1"/>
  <c r="BM265" i="1" a="1"/>
  <c r="BM265" i="1" s="1"/>
  <c r="BN265" i="1" a="1"/>
  <c r="BN265" i="1" s="1"/>
  <c r="G266" i="1" a="1"/>
  <c r="G266" i="1" s="1"/>
  <c r="H266" i="1" a="1"/>
  <c r="H266" i="1" s="1"/>
  <c r="I266" i="1" a="1"/>
  <c r="I266" i="1" s="1"/>
  <c r="J266" i="1" a="1"/>
  <c r="J266" i="1" s="1"/>
  <c r="K266" i="1" a="1"/>
  <c r="K266" i="1" s="1"/>
  <c r="L266" i="1" a="1"/>
  <c r="L266" i="1" s="1"/>
  <c r="M266" i="1" a="1"/>
  <c r="M266" i="1" s="1"/>
  <c r="N266" i="1" a="1"/>
  <c r="N266" i="1" s="1"/>
  <c r="O266" i="1" a="1"/>
  <c r="O266" i="1" s="1"/>
  <c r="P266" i="1" a="1"/>
  <c r="P266" i="1" s="1"/>
  <c r="Q266" i="1" a="1"/>
  <c r="Q266" i="1" s="1"/>
  <c r="R266" i="1" a="1"/>
  <c r="R266" i="1" s="1"/>
  <c r="S266" i="1" a="1"/>
  <c r="S266" i="1" s="1"/>
  <c r="T266" i="1" a="1"/>
  <c r="T266" i="1" s="1"/>
  <c r="U266" i="1" a="1"/>
  <c r="U266" i="1" s="1"/>
  <c r="V266" i="1" a="1"/>
  <c r="V266" i="1" s="1"/>
  <c r="W266" i="1" a="1"/>
  <c r="W266" i="1" s="1"/>
  <c r="X266" i="1" a="1"/>
  <c r="X266" i="1" s="1"/>
  <c r="Y266" i="1" a="1"/>
  <c r="Y266" i="1" s="1"/>
  <c r="Z266" i="1" a="1"/>
  <c r="Z266" i="1" s="1"/>
  <c r="AA266" i="1" a="1"/>
  <c r="AA266" i="1" s="1"/>
  <c r="AB266" i="1" a="1"/>
  <c r="AB266" i="1" s="1"/>
  <c r="AC266" i="1" a="1"/>
  <c r="AC266" i="1" s="1"/>
  <c r="AD266" i="1" a="1"/>
  <c r="AD266" i="1" s="1"/>
  <c r="AE266" i="1" a="1"/>
  <c r="AE266" i="1" s="1"/>
  <c r="AF266" i="1" a="1"/>
  <c r="AF266" i="1" s="1"/>
  <c r="AG266" i="1" a="1"/>
  <c r="AG266" i="1" s="1"/>
  <c r="AH266" i="1" a="1"/>
  <c r="AH266" i="1" s="1"/>
  <c r="AI266" i="1" a="1"/>
  <c r="AI266" i="1" s="1"/>
  <c r="AJ266" i="1" a="1"/>
  <c r="AJ266" i="1" s="1"/>
  <c r="AK266" i="1" a="1"/>
  <c r="AK266" i="1" s="1"/>
  <c r="AL266" i="1" a="1"/>
  <c r="AL266" i="1" s="1"/>
  <c r="AM266" i="1" a="1"/>
  <c r="AM266" i="1" s="1"/>
  <c r="AN266" i="1" a="1"/>
  <c r="AN266" i="1" s="1"/>
  <c r="AO266" i="1" a="1"/>
  <c r="AO266" i="1"/>
  <c r="AP266" i="1" a="1"/>
  <c r="AP266" i="1" s="1"/>
  <c r="AQ266" i="1" a="1"/>
  <c r="AQ266" i="1" s="1"/>
  <c r="AR266" i="1" a="1"/>
  <c r="AR266" i="1" s="1"/>
  <c r="AS266" i="1" a="1"/>
  <c r="AS266" i="1" s="1"/>
  <c r="AT266" i="1" a="1"/>
  <c r="AT266" i="1" s="1"/>
  <c r="AU266" i="1" a="1"/>
  <c r="AU266" i="1" s="1"/>
  <c r="AV266" i="1" a="1"/>
  <c r="AV266" i="1" s="1"/>
  <c r="AW266" i="1" a="1"/>
  <c r="AW266" i="1" s="1"/>
  <c r="AX266" i="1" a="1"/>
  <c r="AX266" i="1" s="1"/>
  <c r="AY266" i="1" a="1"/>
  <c r="AY266" i="1" s="1"/>
  <c r="AZ266" i="1" a="1"/>
  <c r="AZ266" i="1" s="1"/>
  <c r="BA266" i="1" a="1"/>
  <c r="BA266" i="1" s="1"/>
  <c r="BB266" i="1" a="1"/>
  <c r="BB266" i="1" s="1"/>
  <c r="BC266" i="1" a="1"/>
  <c r="BC266" i="1" s="1"/>
  <c r="BD266" i="1" a="1"/>
  <c r="BD266" i="1"/>
  <c r="BE266" i="1" a="1"/>
  <c r="BE266" i="1" s="1"/>
  <c r="BF266" i="1" a="1"/>
  <c r="BF266" i="1" s="1"/>
  <c r="BG266" i="1" a="1"/>
  <c r="BG266" i="1" s="1"/>
  <c r="BH266" i="1" a="1"/>
  <c r="BH266" i="1" s="1"/>
  <c r="BI266" i="1" a="1"/>
  <c r="BI266" i="1" s="1"/>
  <c r="BJ266" i="1" a="1"/>
  <c r="BJ266" i="1" s="1"/>
  <c r="BK266" i="1" a="1"/>
  <c r="BK266" i="1" s="1"/>
  <c r="BL266" i="1" a="1"/>
  <c r="BL266" i="1" s="1"/>
  <c r="BM266" i="1" a="1"/>
  <c r="BM266" i="1" s="1"/>
  <c r="BN266" i="1" a="1"/>
  <c r="BN266" i="1" s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EH296" i="1" a="1"/>
  <c r="EH296" i="1" s="1"/>
  <c r="EG296" i="1" a="1"/>
  <c r="EG296" i="1" s="1"/>
  <c r="EF296" i="1" a="1"/>
  <c r="EF296" i="1" s="1"/>
  <c r="EE296" i="1" a="1"/>
  <c r="EE296" i="1" s="1"/>
  <c r="ED296" i="1" a="1"/>
  <c r="ED296" i="1" s="1"/>
  <c r="EC296" i="1" a="1"/>
  <c r="EC296" i="1" s="1"/>
  <c r="EB296" i="1" a="1"/>
  <c r="EB296" i="1" s="1"/>
  <c r="EA296" i="1" a="1"/>
  <c r="EA296" i="1" s="1"/>
  <c r="DZ296" i="1" a="1"/>
  <c r="DZ296" i="1" s="1"/>
  <c r="DY296" i="1" a="1"/>
  <c r="DY296" i="1" s="1"/>
  <c r="DX296" i="1" a="1"/>
  <c r="DX296" i="1" s="1"/>
  <c r="DW296" i="1" a="1"/>
  <c r="DW296" i="1" s="1"/>
  <c r="DV296" i="1" a="1"/>
  <c r="DV296" i="1" s="1"/>
  <c r="DU296" i="1" a="1"/>
  <c r="DU296" i="1" s="1"/>
  <c r="DT296" i="1" a="1"/>
  <c r="DT296" i="1" s="1"/>
  <c r="DS296" i="1" a="1"/>
  <c r="DS296" i="1" s="1"/>
  <c r="DR296" i="1" a="1"/>
  <c r="DR296" i="1" s="1"/>
  <c r="DQ296" i="1" a="1"/>
  <c r="DQ296" i="1" s="1"/>
  <c r="DP296" i="1" a="1"/>
  <c r="DP296" i="1" s="1"/>
  <c r="DO296" i="1" a="1"/>
  <c r="DO296" i="1" s="1"/>
  <c r="DN296" i="1" a="1"/>
  <c r="DN296" i="1" s="1"/>
  <c r="DM296" i="1" a="1"/>
  <c r="DM296" i="1" s="1"/>
  <c r="DL296" i="1" a="1"/>
  <c r="DL296" i="1" s="1"/>
  <c r="DK296" i="1" a="1"/>
  <c r="DK296" i="1" s="1"/>
  <c r="EH295" i="1" a="1"/>
  <c r="EH295" i="1" s="1"/>
  <c r="EG295" i="1" a="1"/>
  <c r="EG295" i="1" s="1"/>
  <c r="EF295" i="1" a="1"/>
  <c r="EF295" i="1" s="1"/>
  <c r="EE295" i="1" a="1"/>
  <c r="EE295" i="1" s="1"/>
  <c r="ED295" i="1" a="1"/>
  <c r="ED295" i="1" s="1"/>
  <c r="EC295" i="1" a="1"/>
  <c r="EC295" i="1" s="1"/>
  <c r="EB295" i="1" a="1"/>
  <c r="EB295" i="1" s="1"/>
  <c r="EA295" i="1" a="1"/>
  <c r="EA295" i="1" s="1"/>
  <c r="DZ295" i="1" a="1"/>
  <c r="DZ295" i="1" s="1"/>
  <c r="DY295" i="1" a="1"/>
  <c r="DY295" i="1" s="1"/>
  <c r="DX295" i="1" a="1"/>
  <c r="DX295" i="1" s="1"/>
  <c r="DW295" i="1" a="1"/>
  <c r="DW295" i="1" s="1"/>
  <c r="DV295" i="1" a="1"/>
  <c r="DV295" i="1" s="1"/>
  <c r="DU295" i="1" a="1"/>
  <c r="DU295" i="1" s="1"/>
  <c r="DT295" i="1" a="1"/>
  <c r="DT295" i="1" s="1"/>
  <c r="DS295" i="1" a="1"/>
  <c r="DS295" i="1" s="1"/>
  <c r="DR295" i="1" a="1"/>
  <c r="DR295" i="1" s="1"/>
  <c r="DQ295" i="1" a="1"/>
  <c r="DQ295" i="1" s="1"/>
  <c r="DP295" i="1" a="1"/>
  <c r="DP295" i="1" s="1"/>
  <c r="DO295" i="1" a="1"/>
  <c r="DO295" i="1" s="1"/>
  <c r="DN295" i="1" a="1"/>
  <c r="DN295" i="1" s="1"/>
  <c r="DM295" i="1" a="1"/>
  <c r="DM295" i="1" s="1"/>
  <c r="DL295" i="1" a="1"/>
  <c r="DL295" i="1" s="1"/>
  <c r="DK295" i="1" a="1"/>
  <c r="DK295" i="1" s="1"/>
  <c r="DK294" i="1"/>
  <c r="EH291" i="1" a="1"/>
  <c r="EH291" i="1" s="1"/>
  <c r="EG291" i="1" a="1"/>
  <c r="EG291" i="1" s="1"/>
  <c r="EF291" i="1" a="1"/>
  <c r="EF291" i="1" s="1"/>
  <c r="EE291" i="1" a="1"/>
  <c r="EE291" i="1" s="1"/>
  <c r="ED291" i="1" a="1"/>
  <c r="ED291" i="1" s="1"/>
  <c r="EC291" i="1" a="1"/>
  <c r="EC291" i="1" s="1"/>
  <c r="EB291" i="1" a="1"/>
  <c r="EB291" i="1" s="1"/>
  <c r="EA291" i="1" a="1"/>
  <c r="EA291" i="1" s="1"/>
  <c r="DZ291" i="1" a="1"/>
  <c r="DZ291" i="1" s="1"/>
  <c r="DY291" i="1" a="1"/>
  <c r="DY291" i="1" s="1"/>
  <c r="DX291" i="1" a="1"/>
  <c r="DX291" i="1" s="1"/>
  <c r="DW291" i="1" a="1"/>
  <c r="DW291" i="1" s="1"/>
  <c r="DV291" i="1" a="1"/>
  <c r="DV291" i="1" s="1"/>
  <c r="DU291" i="1" a="1"/>
  <c r="DU291" i="1" s="1"/>
  <c r="DT291" i="1" a="1"/>
  <c r="DT291" i="1" s="1"/>
  <c r="DS291" i="1" a="1"/>
  <c r="DS291" i="1" s="1"/>
  <c r="DR291" i="1" a="1"/>
  <c r="DR291" i="1" s="1"/>
  <c r="DQ291" i="1" a="1"/>
  <c r="DQ291" i="1" s="1"/>
  <c r="DP291" i="1" a="1"/>
  <c r="DP291" i="1" s="1"/>
  <c r="DO291" i="1" a="1"/>
  <c r="DO291" i="1" s="1"/>
  <c r="DN291" i="1" a="1"/>
  <c r="DN291" i="1" s="1"/>
  <c r="DM291" i="1" a="1"/>
  <c r="DM291" i="1" s="1"/>
  <c r="DL291" i="1" a="1"/>
  <c r="DL291" i="1" s="1"/>
  <c r="DK291" i="1" a="1"/>
  <c r="DK291" i="1" s="1"/>
  <c r="EH290" i="1" a="1"/>
  <c r="EH290" i="1" s="1"/>
  <c r="EG290" i="1" a="1"/>
  <c r="EG290" i="1" s="1"/>
  <c r="EF290" i="1" a="1"/>
  <c r="EF290" i="1" s="1"/>
  <c r="EE290" i="1" a="1"/>
  <c r="EE290" i="1" s="1"/>
  <c r="ED290" i="1" a="1"/>
  <c r="ED290" i="1" s="1"/>
  <c r="EC290" i="1" a="1"/>
  <c r="EC290" i="1" s="1"/>
  <c r="EB290" i="1" a="1"/>
  <c r="EB290" i="1" s="1"/>
  <c r="EA290" i="1" a="1"/>
  <c r="EA290" i="1" s="1"/>
  <c r="DZ290" i="1" a="1"/>
  <c r="DZ290" i="1" s="1"/>
  <c r="DY290" i="1" a="1"/>
  <c r="DY290" i="1" s="1"/>
  <c r="DX290" i="1" a="1"/>
  <c r="DX290" i="1" s="1"/>
  <c r="DW290" i="1" a="1"/>
  <c r="DW290" i="1" s="1"/>
  <c r="DV290" i="1" a="1"/>
  <c r="DV290" i="1" s="1"/>
  <c r="DU290" i="1" a="1"/>
  <c r="DU290" i="1" s="1"/>
  <c r="DT290" i="1" a="1"/>
  <c r="DT290" i="1" s="1"/>
  <c r="DS290" i="1" a="1"/>
  <c r="DS290" i="1" s="1"/>
  <c r="DR290" i="1" a="1"/>
  <c r="DR290" i="1" s="1"/>
  <c r="DQ290" i="1" a="1"/>
  <c r="DQ290" i="1" s="1"/>
  <c r="DP290" i="1" a="1"/>
  <c r="DP290" i="1" s="1"/>
  <c r="DO290" i="1" a="1"/>
  <c r="DO290" i="1" s="1"/>
  <c r="DN290" i="1" a="1"/>
  <c r="DN290" i="1" s="1"/>
  <c r="DM290" i="1" a="1"/>
  <c r="DM290" i="1" s="1"/>
  <c r="DL290" i="1" a="1"/>
  <c r="DL290" i="1" s="1"/>
  <c r="DK290" i="1" a="1"/>
  <c r="DK290" i="1" s="1"/>
  <c r="EH289" i="1" a="1"/>
  <c r="EH289" i="1" s="1"/>
  <c r="EG289" i="1" a="1"/>
  <c r="EG289" i="1" s="1"/>
  <c r="EF289" i="1" a="1"/>
  <c r="EF289" i="1" s="1"/>
  <c r="EE289" i="1" a="1"/>
  <c r="EE289" i="1" s="1"/>
  <c r="ED289" i="1" a="1"/>
  <c r="ED289" i="1" s="1"/>
  <c r="EC289" i="1" a="1"/>
  <c r="EC289" i="1" s="1"/>
  <c r="EB289" i="1" a="1"/>
  <c r="EB289" i="1" s="1"/>
  <c r="EA289" i="1" a="1"/>
  <c r="EA289" i="1" s="1"/>
  <c r="DZ289" i="1" a="1"/>
  <c r="DZ289" i="1" s="1"/>
  <c r="DY289" i="1" a="1"/>
  <c r="DY289" i="1" s="1"/>
  <c r="DX289" i="1" a="1"/>
  <c r="DX289" i="1" s="1"/>
  <c r="DW289" i="1" a="1"/>
  <c r="DW289" i="1" s="1"/>
  <c r="DV289" i="1" a="1"/>
  <c r="DV289" i="1" s="1"/>
  <c r="DU289" i="1" a="1"/>
  <c r="DU289" i="1" s="1"/>
  <c r="DT289" i="1" a="1"/>
  <c r="DT289" i="1" s="1"/>
  <c r="DS289" i="1" a="1"/>
  <c r="DS289" i="1" s="1"/>
  <c r="DR289" i="1" a="1"/>
  <c r="DR289" i="1" s="1"/>
  <c r="DQ289" i="1" a="1"/>
  <c r="DQ289" i="1" s="1"/>
  <c r="DP289" i="1" a="1"/>
  <c r="DP289" i="1" s="1"/>
  <c r="DO289" i="1" a="1"/>
  <c r="DO289" i="1" s="1"/>
  <c r="DN289" i="1" a="1"/>
  <c r="DN289" i="1" s="1"/>
  <c r="DM289" i="1" a="1"/>
  <c r="DM289" i="1" s="1"/>
  <c r="DL289" i="1" a="1"/>
  <c r="DL289" i="1" s="1"/>
  <c r="DK289" i="1" a="1"/>
  <c r="DK289" i="1" s="1"/>
  <c r="EH288" i="1" a="1"/>
  <c r="EH288" i="1" s="1"/>
  <c r="EG288" i="1" a="1"/>
  <c r="EG288" i="1" s="1"/>
  <c r="EF288" i="1" a="1"/>
  <c r="EF288" i="1" s="1"/>
  <c r="EE288" i="1" a="1"/>
  <c r="EE288" i="1" s="1"/>
  <c r="ED288" i="1" a="1"/>
  <c r="ED288" i="1" s="1"/>
  <c r="EC288" i="1" a="1"/>
  <c r="EC288" i="1" s="1"/>
  <c r="EB288" i="1" a="1"/>
  <c r="EB288" i="1" s="1"/>
  <c r="EA288" i="1" a="1"/>
  <c r="EA288" i="1" s="1"/>
  <c r="DZ288" i="1" a="1"/>
  <c r="DZ288" i="1" s="1"/>
  <c r="DY288" i="1" a="1"/>
  <c r="DY288" i="1" s="1"/>
  <c r="DX288" i="1" a="1"/>
  <c r="DX288" i="1" s="1"/>
  <c r="DW288" i="1" a="1"/>
  <c r="DW288" i="1" s="1"/>
  <c r="DV288" i="1" a="1"/>
  <c r="DV288" i="1" s="1"/>
  <c r="DU288" i="1" a="1"/>
  <c r="DU288" i="1" s="1"/>
  <c r="DT288" i="1" a="1"/>
  <c r="DT288" i="1" s="1"/>
  <c r="DS288" i="1" a="1"/>
  <c r="DS288" i="1" s="1"/>
  <c r="DR288" i="1" a="1"/>
  <c r="DR288" i="1" s="1"/>
  <c r="DQ288" i="1" a="1"/>
  <c r="DQ288" i="1" s="1"/>
  <c r="DP288" i="1" a="1"/>
  <c r="DP288" i="1" s="1"/>
  <c r="DO288" i="1" a="1"/>
  <c r="DO288" i="1" s="1"/>
  <c r="DN288" i="1" a="1"/>
  <c r="DN288" i="1" s="1"/>
  <c r="DM288" i="1" a="1"/>
  <c r="DM288" i="1" s="1"/>
  <c r="DL288" i="1" a="1"/>
  <c r="DL288" i="1" s="1"/>
  <c r="DK288" i="1" a="1"/>
  <c r="DK288" i="1" s="1"/>
  <c r="EH287" i="1" a="1"/>
  <c r="EH287" i="1" s="1"/>
  <c r="EG287" i="1" a="1"/>
  <c r="EG287" i="1" s="1"/>
  <c r="EF287" i="1" a="1"/>
  <c r="EF287" i="1" s="1"/>
  <c r="EE287" i="1" a="1"/>
  <c r="EE287" i="1" s="1"/>
  <c r="ED287" i="1" a="1"/>
  <c r="ED287" i="1" s="1"/>
  <c r="EC287" i="1" a="1"/>
  <c r="EC287" i="1" s="1"/>
  <c r="EB287" i="1" a="1"/>
  <c r="EB287" i="1" s="1"/>
  <c r="EA287" i="1" a="1"/>
  <c r="EA287" i="1" s="1"/>
  <c r="DZ287" i="1" a="1"/>
  <c r="DZ287" i="1" s="1"/>
  <c r="DY287" i="1" a="1"/>
  <c r="DY287" i="1" s="1"/>
  <c r="DX287" i="1" a="1"/>
  <c r="DX287" i="1" s="1"/>
  <c r="DW287" i="1" a="1"/>
  <c r="DW287" i="1" s="1"/>
  <c r="DV287" i="1" a="1"/>
  <c r="DV287" i="1" s="1"/>
  <c r="DU287" i="1" a="1"/>
  <c r="DU287" i="1" s="1"/>
  <c r="DT287" i="1" a="1"/>
  <c r="DT287" i="1" s="1"/>
  <c r="DS287" i="1" a="1"/>
  <c r="DS287" i="1" s="1"/>
  <c r="DR287" i="1" a="1"/>
  <c r="DR287" i="1" s="1"/>
  <c r="DQ287" i="1" a="1"/>
  <c r="DQ287" i="1" s="1"/>
  <c r="DP287" i="1" a="1"/>
  <c r="DP287" i="1" s="1"/>
  <c r="DO287" i="1" a="1"/>
  <c r="DO287" i="1" s="1"/>
  <c r="DN287" i="1" a="1"/>
  <c r="DN287" i="1" s="1"/>
  <c r="DM287" i="1" a="1"/>
  <c r="DM287" i="1" s="1"/>
  <c r="DL287" i="1" a="1"/>
  <c r="DL287" i="1" s="1"/>
  <c r="DK287" i="1" a="1"/>
  <c r="DK287" i="1" s="1"/>
  <c r="EH286" i="1" a="1"/>
  <c r="EH286" i="1" s="1"/>
  <c r="EG286" i="1" a="1"/>
  <c r="EG286" i="1" s="1"/>
  <c r="EF286" i="1" a="1"/>
  <c r="EF286" i="1" s="1"/>
  <c r="EE286" i="1" a="1"/>
  <c r="EE286" i="1" s="1"/>
  <c r="ED286" i="1" a="1"/>
  <c r="ED286" i="1" s="1"/>
  <c r="EC286" i="1" a="1"/>
  <c r="EC286" i="1" s="1"/>
  <c r="EB286" i="1" a="1"/>
  <c r="EB286" i="1" s="1"/>
  <c r="EA286" i="1" a="1"/>
  <c r="EA286" i="1" s="1"/>
  <c r="DZ286" i="1" a="1"/>
  <c r="DZ286" i="1" s="1"/>
  <c r="DY286" i="1" a="1"/>
  <c r="DY286" i="1" s="1"/>
  <c r="DX286" i="1" a="1"/>
  <c r="DX286" i="1" s="1"/>
  <c r="DW286" i="1" a="1"/>
  <c r="DW286" i="1" s="1"/>
  <c r="DV286" i="1" a="1"/>
  <c r="DV286" i="1" s="1"/>
  <c r="DU286" i="1" a="1"/>
  <c r="DU286" i="1" s="1"/>
  <c r="DT286" i="1" a="1"/>
  <c r="DT286" i="1" s="1"/>
  <c r="DS286" i="1" a="1"/>
  <c r="DS286" i="1" s="1"/>
  <c r="DR286" i="1" a="1"/>
  <c r="DR286" i="1" s="1"/>
  <c r="DQ286" i="1" a="1"/>
  <c r="DQ286" i="1" s="1"/>
  <c r="DP286" i="1" a="1"/>
  <c r="DP286" i="1" s="1"/>
  <c r="DO286" i="1" a="1"/>
  <c r="DO286" i="1" s="1"/>
  <c r="DN286" i="1" a="1"/>
  <c r="DN286" i="1" s="1"/>
  <c r="DM286" i="1" a="1"/>
  <c r="DM286" i="1" s="1"/>
  <c r="DL286" i="1" a="1"/>
  <c r="DL286" i="1" s="1"/>
  <c r="DK286" i="1" a="1"/>
  <c r="DK286" i="1" s="1"/>
  <c r="EH285" i="1" a="1"/>
  <c r="EH285" i="1" s="1"/>
  <c r="EG285" i="1" a="1"/>
  <c r="EG285" i="1" s="1"/>
  <c r="EF285" i="1" a="1"/>
  <c r="EF285" i="1" s="1"/>
  <c r="EE285" i="1" a="1"/>
  <c r="EE285" i="1" s="1"/>
  <c r="ED285" i="1" a="1"/>
  <c r="ED285" i="1" s="1"/>
  <c r="EC285" i="1" a="1"/>
  <c r="EC285" i="1" s="1"/>
  <c r="EB285" i="1" a="1"/>
  <c r="EB285" i="1" s="1"/>
  <c r="EA285" i="1" a="1"/>
  <c r="EA285" i="1" s="1"/>
  <c r="DZ285" i="1" a="1"/>
  <c r="DZ285" i="1" s="1"/>
  <c r="DY285" i="1" a="1"/>
  <c r="DY285" i="1" s="1"/>
  <c r="DX285" i="1" a="1"/>
  <c r="DX285" i="1" s="1"/>
  <c r="DW285" i="1" a="1"/>
  <c r="DW285" i="1" s="1"/>
  <c r="DV285" i="1" a="1"/>
  <c r="DV285" i="1" s="1"/>
  <c r="DU285" i="1" a="1"/>
  <c r="DU285" i="1" s="1"/>
  <c r="DT285" i="1" a="1"/>
  <c r="DT285" i="1" s="1"/>
  <c r="DS285" i="1" a="1"/>
  <c r="DS285" i="1" s="1"/>
  <c r="DR285" i="1" a="1"/>
  <c r="DR285" i="1" s="1"/>
  <c r="DQ285" i="1" a="1"/>
  <c r="DQ285" i="1" s="1"/>
  <c r="DP285" i="1" a="1"/>
  <c r="DP285" i="1" s="1"/>
  <c r="DO285" i="1" a="1"/>
  <c r="DO285" i="1" s="1"/>
  <c r="DN285" i="1" a="1"/>
  <c r="DN285" i="1" s="1"/>
  <c r="DM285" i="1" a="1"/>
  <c r="DM285" i="1" s="1"/>
  <c r="DL285" i="1" a="1"/>
  <c r="DL285" i="1" s="1"/>
  <c r="DK285" i="1" a="1"/>
  <c r="DK285" i="1" s="1"/>
  <c r="EH284" i="1" a="1"/>
  <c r="EH284" i="1" s="1"/>
  <c r="EG284" i="1" a="1"/>
  <c r="EG284" i="1" s="1"/>
  <c r="EF284" i="1" a="1"/>
  <c r="EF284" i="1" s="1"/>
  <c r="EE284" i="1" a="1"/>
  <c r="EE284" i="1" s="1"/>
  <c r="ED284" i="1" a="1"/>
  <c r="ED284" i="1" s="1"/>
  <c r="EC284" i="1" a="1"/>
  <c r="EC284" i="1" s="1"/>
  <c r="EB284" i="1" a="1"/>
  <c r="EB284" i="1" s="1"/>
  <c r="EA284" i="1" a="1"/>
  <c r="EA284" i="1" s="1"/>
  <c r="DZ284" i="1" a="1"/>
  <c r="DZ284" i="1" s="1"/>
  <c r="DY284" i="1" a="1"/>
  <c r="DY284" i="1" s="1"/>
  <c r="DX284" i="1" a="1"/>
  <c r="DX284" i="1" s="1"/>
  <c r="DW284" i="1" a="1"/>
  <c r="DW284" i="1" s="1"/>
  <c r="DV284" i="1" a="1"/>
  <c r="DV284" i="1" s="1"/>
  <c r="DU284" i="1" a="1"/>
  <c r="DU284" i="1" s="1"/>
  <c r="DT284" i="1" a="1"/>
  <c r="DT284" i="1" s="1"/>
  <c r="DS284" i="1" a="1"/>
  <c r="DS284" i="1" s="1"/>
  <c r="DR284" i="1" a="1"/>
  <c r="DR284" i="1" s="1"/>
  <c r="DQ284" i="1" a="1"/>
  <c r="DQ284" i="1" s="1"/>
  <c r="DP284" i="1" a="1"/>
  <c r="DP284" i="1" s="1"/>
  <c r="DO284" i="1" a="1"/>
  <c r="DO284" i="1" s="1"/>
  <c r="DN284" i="1" a="1"/>
  <c r="DN284" i="1" s="1"/>
  <c r="DM284" i="1" a="1"/>
  <c r="DM284" i="1" s="1"/>
  <c r="DL284" i="1" a="1"/>
  <c r="DL284" i="1" s="1"/>
  <c r="DK284" i="1" a="1"/>
  <c r="DK284" i="1" s="1"/>
  <c r="EH275" i="1" a="1"/>
  <c r="EH275" i="1" s="1"/>
  <c r="EG275" i="1" a="1"/>
  <c r="EG275" i="1" s="1"/>
  <c r="EF275" i="1" a="1"/>
  <c r="EF275" i="1" s="1"/>
  <c r="EE275" i="1" a="1"/>
  <c r="EE275" i="1" s="1"/>
  <c r="ED275" i="1" a="1"/>
  <c r="ED275" i="1" s="1"/>
  <c r="EC275" i="1" a="1"/>
  <c r="EC275" i="1" s="1"/>
  <c r="EB275" i="1" a="1"/>
  <c r="EB275" i="1" s="1"/>
  <c r="EA275" i="1" a="1"/>
  <c r="EA275" i="1" s="1"/>
  <c r="DZ275" i="1" a="1"/>
  <c r="DZ275" i="1" s="1"/>
  <c r="DY275" i="1" a="1"/>
  <c r="DY275" i="1" s="1"/>
  <c r="DX275" i="1" a="1"/>
  <c r="DX275" i="1" s="1"/>
  <c r="DW275" i="1" a="1"/>
  <c r="DW275" i="1" s="1"/>
  <c r="DV275" i="1" a="1"/>
  <c r="DV275" i="1" s="1"/>
  <c r="DU275" i="1" a="1"/>
  <c r="DU275" i="1" s="1"/>
  <c r="DT275" i="1" a="1"/>
  <c r="DT275" i="1" s="1"/>
  <c r="DS275" i="1" a="1"/>
  <c r="DS275" i="1" s="1"/>
  <c r="DR275" i="1" a="1"/>
  <c r="DR275" i="1" s="1"/>
  <c r="DQ275" i="1" a="1"/>
  <c r="DQ275" i="1" s="1"/>
  <c r="DP275" i="1" a="1"/>
  <c r="DP275" i="1" s="1"/>
  <c r="DO275" i="1" a="1"/>
  <c r="DO275" i="1" s="1"/>
  <c r="DN275" i="1" a="1"/>
  <c r="DN275" i="1" s="1"/>
  <c r="DM275" i="1" a="1"/>
  <c r="DM275" i="1" s="1"/>
  <c r="DL275" i="1" a="1"/>
  <c r="DL275" i="1" s="1"/>
  <c r="DK275" i="1" a="1"/>
  <c r="DK275" i="1" s="1"/>
  <c r="EH274" i="1" a="1"/>
  <c r="EH274" i="1" s="1"/>
  <c r="EG274" i="1" a="1"/>
  <c r="EG274" i="1" s="1"/>
  <c r="EF274" i="1" a="1"/>
  <c r="EF274" i="1" s="1"/>
  <c r="EE274" i="1" a="1"/>
  <c r="EE274" i="1" s="1"/>
  <c r="ED274" i="1" a="1"/>
  <c r="ED274" i="1" s="1"/>
  <c r="EC274" i="1" a="1"/>
  <c r="EC274" i="1" s="1"/>
  <c r="EB274" i="1" a="1"/>
  <c r="EB274" i="1" s="1"/>
  <c r="EA274" i="1" a="1"/>
  <c r="EA274" i="1" s="1"/>
  <c r="DZ274" i="1" a="1"/>
  <c r="DZ274" i="1" s="1"/>
  <c r="DY274" i="1" a="1"/>
  <c r="DY274" i="1" s="1"/>
  <c r="DX274" i="1" a="1"/>
  <c r="DX274" i="1" s="1"/>
  <c r="DW274" i="1" a="1"/>
  <c r="DW274" i="1" s="1"/>
  <c r="DV274" i="1" a="1"/>
  <c r="DV274" i="1" s="1"/>
  <c r="DU274" i="1" a="1"/>
  <c r="DU274" i="1" s="1"/>
  <c r="DT274" i="1" a="1"/>
  <c r="DT274" i="1" s="1"/>
  <c r="DS274" i="1" a="1"/>
  <c r="DS274" i="1" s="1"/>
  <c r="DR274" i="1" a="1"/>
  <c r="DR274" i="1" s="1"/>
  <c r="DQ274" i="1" a="1"/>
  <c r="DQ274" i="1" s="1"/>
  <c r="DP274" i="1" a="1"/>
  <c r="DP274" i="1" s="1"/>
  <c r="DO274" i="1" a="1"/>
  <c r="DO274" i="1" s="1"/>
  <c r="DN274" i="1" a="1"/>
  <c r="DN274" i="1" s="1"/>
  <c r="DM274" i="1" a="1"/>
  <c r="DM274" i="1" s="1"/>
  <c r="DL274" i="1" a="1"/>
  <c r="DL274" i="1" s="1"/>
  <c r="DK274" i="1" a="1"/>
  <c r="DK274" i="1" s="1"/>
  <c r="EH266" i="1" a="1"/>
  <c r="EH266" i="1" s="1"/>
  <c r="EG266" i="1" a="1"/>
  <c r="EG266" i="1" s="1"/>
  <c r="EF266" i="1" a="1"/>
  <c r="EF266" i="1" s="1"/>
  <c r="EE266" i="1" a="1"/>
  <c r="EE266" i="1" s="1"/>
  <c r="ED266" i="1" a="1"/>
  <c r="ED266" i="1" s="1"/>
  <c r="EC266" i="1" a="1"/>
  <c r="EC266" i="1" s="1"/>
  <c r="EB266" i="1" a="1"/>
  <c r="EB266" i="1" s="1"/>
  <c r="EA266" i="1" a="1"/>
  <c r="EA266" i="1" s="1"/>
  <c r="DZ266" i="1" a="1"/>
  <c r="DZ266" i="1" s="1"/>
  <c r="DY266" i="1" a="1"/>
  <c r="DY266" i="1" s="1"/>
  <c r="DX266" i="1" a="1"/>
  <c r="DX266" i="1" s="1"/>
  <c r="DW266" i="1" a="1"/>
  <c r="DW266" i="1" s="1"/>
  <c r="DV266" i="1" a="1"/>
  <c r="DV266" i="1" s="1"/>
  <c r="DU266" i="1" a="1"/>
  <c r="DU266" i="1" s="1"/>
  <c r="DT266" i="1" a="1"/>
  <c r="DT266" i="1" s="1"/>
  <c r="DS266" i="1" a="1"/>
  <c r="DS266" i="1" s="1"/>
  <c r="DR266" i="1" a="1"/>
  <c r="DR266" i="1" s="1"/>
  <c r="DQ266" i="1" a="1"/>
  <c r="DQ266" i="1" s="1"/>
  <c r="DP266" i="1" a="1"/>
  <c r="DP266" i="1" s="1"/>
  <c r="DO266" i="1" a="1"/>
  <c r="DO266" i="1" s="1"/>
  <c r="DN266" i="1" a="1"/>
  <c r="DN266" i="1" s="1"/>
  <c r="DM266" i="1" a="1"/>
  <c r="DM266" i="1" s="1"/>
  <c r="DL266" i="1" a="1"/>
  <c r="DL266" i="1" s="1"/>
  <c r="DK266" i="1" a="1"/>
  <c r="DK266" i="1" s="1"/>
  <c r="DJ266" i="1" a="1"/>
  <c r="DJ266" i="1" s="1"/>
  <c r="DI266" i="1" a="1"/>
  <c r="DI266" i="1" s="1"/>
  <c r="DH266" i="1" a="1"/>
  <c r="DH266" i="1" s="1"/>
  <c r="DG266" i="1" a="1"/>
  <c r="DG266" i="1" s="1"/>
  <c r="DF266" i="1" a="1"/>
  <c r="DF266" i="1" s="1"/>
  <c r="DE266" i="1" a="1"/>
  <c r="DE266" i="1" s="1"/>
  <c r="DD266" i="1" a="1"/>
  <c r="DD266" i="1" s="1"/>
  <c r="DC266" i="1" a="1"/>
  <c r="DC266" i="1" s="1"/>
  <c r="DB266" i="1" a="1"/>
  <c r="DB266" i="1" s="1"/>
  <c r="DA266" i="1" a="1"/>
  <c r="DA266" i="1" s="1"/>
  <c r="CZ266" i="1" a="1"/>
  <c r="CZ266" i="1" s="1"/>
  <c r="CY266" i="1" a="1"/>
  <c r="CY266" i="1" s="1"/>
  <c r="CX266" i="1" a="1"/>
  <c r="CX266" i="1" s="1"/>
  <c r="CW266" i="1" a="1"/>
  <c r="CW266" i="1" s="1"/>
  <c r="CV266" i="1" a="1"/>
  <c r="CV266" i="1" s="1"/>
  <c r="CU266" i="1" a="1"/>
  <c r="CU266" i="1" s="1"/>
  <c r="CT266" i="1" a="1"/>
  <c r="CT266" i="1" s="1"/>
  <c r="CS266" i="1" a="1"/>
  <c r="CS266" i="1" s="1"/>
  <c r="CR266" i="1" a="1"/>
  <c r="CR266" i="1" s="1"/>
  <c r="CQ266" i="1" a="1"/>
  <c r="CQ266" i="1" s="1"/>
  <c r="CP266" i="1" a="1"/>
  <c r="CP266" i="1" s="1"/>
  <c r="CO266" i="1" a="1"/>
  <c r="CO266" i="1" s="1"/>
  <c r="CN266" i="1" a="1"/>
  <c r="CN266" i="1" s="1"/>
  <c r="CM266" i="1" a="1"/>
  <c r="CM266" i="1" s="1"/>
  <c r="CL266" i="1" a="1"/>
  <c r="CL266" i="1" s="1"/>
  <c r="CK266" i="1" a="1"/>
  <c r="CK266" i="1" s="1"/>
  <c r="CJ266" i="1" a="1"/>
  <c r="CJ266" i="1" s="1"/>
  <c r="CI266" i="1" a="1"/>
  <c r="CI266" i="1" s="1"/>
  <c r="CH266" i="1" a="1"/>
  <c r="CH266" i="1" s="1"/>
  <c r="CG266" i="1" a="1"/>
  <c r="CG266" i="1" s="1"/>
  <c r="CF266" i="1" a="1"/>
  <c r="CF266" i="1" s="1"/>
  <c r="CE266" i="1" a="1"/>
  <c r="CE266" i="1" s="1"/>
  <c r="CD266" i="1" a="1"/>
  <c r="CD266" i="1" s="1"/>
  <c r="CC266" i="1" a="1"/>
  <c r="CC266" i="1" s="1"/>
  <c r="CB266" i="1" a="1"/>
  <c r="CB266" i="1" s="1"/>
  <c r="CA266" i="1" a="1"/>
  <c r="CA266" i="1" s="1"/>
  <c r="BZ266" i="1" a="1"/>
  <c r="BZ266" i="1" s="1"/>
  <c r="BY266" i="1" a="1"/>
  <c r="BY266" i="1" s="1"/>
  <c r="BX266" i="1" a="1"/>
  <c r="BX266" i="1" s="1"/>
  <c r="BW266" i="1" a="1"/>
  <c r="BW266" i="1" s="1"/>
  <c r="BV266" i="1" a="1"/>
  <c r="BV266" i="1" s="1"/>
  <c r="BU266" i="1" a="1"/>
  <c r="BU266" i="1" s="1"/>
  <c r="BT266" i="1" a="1"/>
  <c r="BT266" i="1" s="1"/>
  <c r="BS266" i="1" a="1"/>
  <c r="BS266" i="1" s="1"/>
  <c r="BR266" i="1" a="1"/>
  <c r="BR266" i="1" s="1"/>
  <c r="BQ266" i="1" a="1"/>
  <c r="BQ266" i="1" s="1"/>
  <c r="BP266" i="1" a="1"/>
  <c r="BP266" i="1" s="1"/>
  <c r="BO266" i="1" a="1"/>
  <c r="BO266" i="1" s="1"/>
  <c r="EH265" i="1" a="1"/>
  <c r="EH265" i="1" s="1"/>
  <c r="EG265" i="1" a="1"/>
  <c r="EG265" i="1" s="1"/>
  <c r="EF265" i="1" a="1"/>
  <c r="EF265" i="1" s="1"/>
  <c r="EE265" i="1" a="1"/>
  <c r="EE265" i="1" s="1"/>
  <c r="ED265" i="1" a="1"/>
  <c r="ED265" i="1" s="1"/>
  <c r="EC265" i="1" a="1"/>
  <c r="EC265" i="1" s="1"/>
  <c r="EB265" i="1" a="1"/>
  <c r="EB265" i="1" s="1"/>
  <c r="EA265" i="1" a="1"/>
  <c r="EA265" i="1" s="1"/>
  <c r="DZ265" i="1" a="1"/>
  <c r="DZ265" i="1" s="1"/>
  <c r="DY265" i="1" a="1"/>
  <c r="DY265" i="1" s="1"/>
  <c r="DX265" i="1" a="1"/>
  <c r="DX265" i="1" s="1"/>
  <c r="DW265" i="1" a="1"/>
  <c r="DW265" i="1" s="1"/>
  <c r="DV265" i="1" a="1"/>
  <c r="DV265" i="1" s="1"/>
  <c r="DU265" i="1" a="1"/>
  <c r="DU265" i="1" s="1"/>
  <c r="DT265" i="1" a="1"/>
  <c r="DT265" i="1" s="1"/>
  <c r="DS265" i="1" a="1"/>
  <c r="DS265" i="1" s="1"/>
  <c r="DR265" i="1" a="1"/>
  <c r="DR265" i="1" s="1"/>
  <c r="DQ265" i="1" a="1"/>
  <c r="DQ265" i="1" s="1"/>
  <c r="DP265" i="1" a="1"/>
  <c r="DP265" i="1" s="1"/>
  <c r="DO265" i="1" a="1"/>
  <c r="DO265" i="1" s="1"/>
  <c r="DN265" i="1" a="1"/>
  <c r="DN265" i="1" s="1"/>
  <c r="DM265" i="1" a="1"/>
  <c r="DM265" i="1" s="1"/>
  <c r="DL265" i="1" a="1"/>
  <c r="DL265" i="1" s="1"/>
  <c r="DK265" i="1" a="1"/>
  <c r="DK265" i="1" s="1"/>
  <c r="DJ265" i="1" a="1"/>
  <c r="DJ265" i="1" s="1"/>
  <c r="DI265" i="1" a="1"/>
  <c r="DI265" i="1" s="1"/>
  <c r="DH265" i="1" a="1"/>
  <c r="DH265" i="1" s="1"/>
  <c r="DG265" i="1" a="1"/>
  <c r="DG265" i="1" s="1"/>
  <c r="DF265" i="1" a="1"/>
  <c r="DF265" i="1" s="1"/>
  <c r="DE265" i="1" a="1"/>
  <c r="DE265" i="1" s="1"/>
  <c r="DD265" i="1" a="1"/>
  <c r="DD265" i="1" s="1"/>
  <c r="DC265" i="1" a="1"/>
  <c r="DC265" i="1" s="1"/>
  <c r="DB265" i="1" a="1"/>
  <c r="DB265" i="1" s="1"/>
  <c r="DA265" i="1" a="1"/>
  <c r="DA265" i="1" s="1"/>
  <c r="CZ265" i="1" a="1"/>
  <c r="CZ265" i="1" s="1"/>
  <c r="CY265" i="1" a="1"/>
  <c r="CY265" i="1" s="1"/>
  <c r="CX265" i="1" a="1"/>
  <c r="CX265" i="1" s="1"/>
  <c r="CW265" i="1" a="1"/>
  <c r="CW265" i="1" s="1"/>
  <c r="CV265" i="1" a="1"/>
  <c r="CV265" i="1" s="1"/>
  <c r="CU265" i="1" a="1"/>
  <c r="CU265" i="1" s="1"/>
  <c r="CT265" i="1" a="1"/>
  <c r="CT265" i="1" s="1"/>
  <c r="CS265" i="1" a="1"/>
  <c r="CS265" i="1" s="1"/>
  <c r="CR265" i="1" a="1"/>
  <c r="CR265" i="1" s="1"/>
  <c r="CQ265" i="1" a="1"/>
  <c r="CQ265" i="1" s="1"/>
  <c r="CP265" i="1" a="1"/>
  <c r="CP265" i="1" s="1"/>
  <c r="CO265" i="1" a="1"/>
  <c r="CO265" i="1" s="1"/>
  <c r="CN265" i="1" a="1"/>
  <c r="CN265" i="1" s="1"/>
  <c r="CM265" i="1" a="1"/>
  <c r="CM265" i="1" s="1"/>
  <c r="CL265" i="1" a="1"/>
  <c r="CL265" i="1" s="1"/>
  <c r="CK265" i="1" a="1"/>
  <c r="CK265" i="1" s="1"/>
  <c r="CJ265" i="1" a="1"/>
  <c r="CJ265" i="1" s="1"/>
  <c r="CI265" i="1" a="1"/>
  <c r="CI265" i="1" s="1"/>
  <c r="CH265" i="1" a="1"/>
  <c r="CH265" i="1" s="1"/>
  <c r="CG265" i="1" a="1"/>
  <c r="CG265" i="1" s="1"/>
  <c r="CF265" i="1" a="1"/>
  <c r="CF265" i="1" s="1"/>
  <c r="CE265" i="1" a="1"/>
  <c r="CE265" i="1" s="1"/>
  <c r="CD265" i="1" a="1"/>
  <c r="CD265" i="1" s="1"/>
  <c r="CC265" i="1" a="1"/>
  <c r="CC265" i="1" s="1"/>
  <c r="CB265" i="1" a="1"/>
  <c r="CB265" i="1" s="1"/>
  <c r="CA265" i="1" a="1"/>
  <c r="CA265" i="1" s="1"/>
  <c r="BZ265" i="1" a="1"/>
  <c r="BZ265" i="1" s="1"/>
  <c r="BY265" i="1" a="1"/>
  <c r="BY265" i="1" s="1"/>
  <c r="BX265" i="1" a="1"/>
  <c r="BX265" i="1" s="1"/>
  <c r="BW265" i="1" a="1"/>
  <c r="BW265" i="1" s="1"/>
  <c r="BV265" i="1" a="1"/>
  <c r="BV265" i="1" s="1"/>
  <c r="BU265" i="1" a="1"/>
  <c r="BU265" i="1" s="1"/>
  <c r="BT265" i="1" a="1"/>
  <c r="BT265" i="1" s="1"/>
  <c r="BS265" i="1" a="1"/>
  <c r="BS265" i="1" s="1"/>
  <c r="BR265" i="1" a="1"/>
  <c r="BR265" i="1" s="1"/>
  <c r="BQ265" i="1" a="1"/>
  <c r="BQ265" i="1" s="1"/>
  <c r="BP265" i="1" a="1"/>
  <c r="BP265" i="1" s="1"/>
  <c r="BO265" i="1" a="1"/>
  <c r="BO265" i="1" s="1"/>
  <c r="EH264" i="1" a="1"/>
  <c r="EH264" i="1" s="1"/>
  <c r="EG264" i="1" a="1"/>
  <c r="EG264" i="1" s="1"/>
  <c r="EF264" i="1" a="1"/>
  <c r="EF264" i="1" s="1"/>
  <c r="EE264" i="1" a="1"/>
  <c r="EE264" i="1" s="1"/>
  <c r="ED264" i="1" a="1"/>
  <c r="ED264" i="1" s="1"/>
  <c r="EC264" i="1" a="1"/>
  <c r="EC264" i="1" s="1"/>
  <c r="EB264" i="1" a="1"/>
  <c r="EB264" i="1" s="1"/>
  <c r="EA264" i="1" a="1"/>
  <c r="EA264" i="1" s="1"/>
  <c r="DZ264" i="1" a="1"/>
  <c r="DZ264" i="1" s="1"/>
  <c r="DY264" i="1" a="1"/>
  <c r="DY264" i="1" s="1"/>
  <c r="DX264" i="1" a="1"/>
  <c r="DX264" i="1" s="1"/>
  <c r="DW264" i="1" a="1"/>
  <c r="DW264" i="1" s="1"/>
  <c r="DV264" i="1" a="1"/>
  <c r="DV264" i="1" s="1"/>
  <c r="DU264" i="1" a="1"/>
  <c r="DU264" i="1" s="1"/>
  <c r="DT264" i="1" a="1"/>
  <c r="DT264" i="1" s="1"/>
  <c r="DS264" i="1" a="1"/>
  <c r="DS264" i="1" s="1"/>
  <c r="DR264" i="1" a="1"/>
  <c r="DR264" i="1" s="1"/>
  <c r="DQ264" i="1" a="1"/>
  <c r="DQ264" i="1" s="1"/>
  <c r="DP264" i="1" a="1"/>
  <c r="DP264" i="1" s="1"/>
  <c r="DO264" i="1" a="1"/>
  <c r="DO264" i="1" s="1"/>
  <c r="DN264" i="1" a="1"/>
  <c r="DN264" i="1" s="1"/>
  <c r="DM264" i="1" a="1"/>
  <c r="DM264" i="1" s="1"/>
  <c r="DL264" i="1" a="1"/>
  <c r="DL264" i="1" s="1"/>
  <c r="DK264" i="1" a="1"/>
  <c r="DK264" i="1" s="1"/>
  <c r="DJ264" i="1" a="1"/>
  <c r="DJ264" i="1" s="1"/>
  <c r="DI264" i="1" a="1"/>
  <c r="DI264" i="1" s="1"/>
  <c r="DH264" i="1" a="1"/>
  <c r="DH264" i="1" s="1"/>
  <c r="DG264" i="1" a="1"/>
  <c r="DG264" i="1" s="1"/>
  <c r="DF264" i="1" a="1"/>
  <c r="DF264" i="1" s="1"/>
  <c r="DE264" i="1" a="1"/>
  <c r="DE264" i="1" s="1"/>
  <c r="DD264" i="1" a="1"/>
  <c r="DD264" i="1" s="1"/>
  <c r="DC264" i="1" a="1"/>
  <c r="DC264" i="1" s="1"/>
  <c r="DB264" i="1" a="1"/>
  <c r="DB264" i="1" s="1"/>
  <c r="DA264" i="1" a="1"/>
  <c r="DA264" i="1" s="1"/>
  <c r="CZ264" i="1" a="1"/>
  <c r="CZ264" i="1" s="1"/>
  <c r="CY264" i="1" a="1"/>
  <c r="CY264" i="1" s="1"/>
  <c r="CX264" i="1" a="1"/>
  <c r="CX264" i="1" s="1"/>
  <c r="CW264" i="1" a="1"/>
  <c r="CW264" i="1" s="1"/>
  <c r="CV264" i="1" a="1"/>
  <c r="CV264" i="1" s="1"/>
  <c r="CU264" i="1" a="1"/>
  <c r="CU264" i="1" s="1"/>
  <c r="CT264" i="1" a="1"/>
  <c r="CT264" i="1" s="1"/>
  <c r="CS264" i="1" a="1"/>
  <c r="CS264" i="1" s="1"/>
  <c r="CR264" i="1" a="1"/>
  <c r="CR264" i="1" s="1"/>
  <c r="CQ264" i="1" a="1"/>
  <c r="CQ264" i="1" s="1"/>
  <c r="CP264" i="1" a="1"/>
  <c r="CP264" i="1" s="1"/>
  <c r="CO264" i="1" a="1"/>
  <c r="CO264" i="1" s="1"/>
  <c r="CN264" i="1" a="1"/>
  <c r="CN264" i="1" s="1"/>
  <c r="CM264" i="1" a="1"/>
  <c r="CM264" i="1" s="1"/>
  <c r="CL264" i="1" a="1"/>
  <c r="CL264" i="1" s="1"/>
  <c r="CK264" i="1" a="1"/>
  <c r="CK264" i="1" s="1"/>
  <c r="CJ264" i="1" a="1"/>
  <c r="CJ264" i="1" s="1"/>
  <c r="CI264" i="1" a="1"/>
  <c r="CI264" i="1" s="1"/>
  <c r="CH264" i="1" a="1"/>
  <c r="CH264" i="1" s="1"/>
  <c r="CG264" i="1" a="1"/>
  <c r="CG264" i="1" s="1"/>
  <c r="CF264" i="1" a="1"/>
  <c r="CF264" i="1" s="1"/>
  <c r="CE264" i="1" a="1"/>
  <c r="CE264" i="1" s="1"/>
  <c r="CD264" i="1" a="1"/>
  <c r="CD264" i="1" s="1"/>
  <c r="CC264" i="1" a="1"/>
  <c r="CC264" i="1" s="1"/>
  <c r="CB264" i="1" a="1"/>
  <c r="CB264" i="1" s="1"/>
  <c r="CA264" i="1" a="1"/>
  <c r="CA264" i="1" s="1"/>
  <c r="BZ264" i="1" a="1"/>
  <c r="BZ264" i="1" s="1"/>
  <c r="BY264" i="1" a="1"/>
  <c r="BY264" i="1" s="1"/>
  <c r="BX264" i="1" a="1"/>
  <c r="BX264" i="1" s="1"/>
  <c r="BW264" i="1" a="1"/>
  <c r="BW264" i="1" s="1"/>
  <c r="BV264" i="1" a="1"/>
  <c r="BV264" i="1" s="1"/>
  <c r="BU264" i="1" a="1"/>
  <c r="BU264" i="1" s="1"/>
  <c r="BT264" i="1" a="1"/>
  <c r="BT264" i="1" s="1"/>
  <c r="BS264" i="1" a="1"/>
  <c r="BS264" i="1" s="1"/>
  <c r="BR264" i="1" a="1"/>
  <c r="BR264" i="1" s="1"/>
  <c r="BQ264" i="1" a="1"/>
  <c r="BQ264" i="1" s="1"/>
  <c r="BP264" i="1" a="1"/>
  <c r="BP264" i="1" s="1"/>
  <c r="BO264" i="1" a="1"/>
  <c r="BO264" i="1" s="1"/>
  <c r="EH263" i="1" a="1"/>
  <c r="EH263" i="1" s="1"/>
  <c r="EG263" i="1" a="1"/>
  <c r="EG263" i="1" s="1"/>
  <c r="EF263" i="1" a="1"/>
  <c r="EF263" i="1" s="1"/>
  <c r="EE263" i="1" a="1"/>
  <c r="EE263" i="1" s="1"/>
  <c r="ED263" i="1" a="1"/>
  <c r="ED263" i="1" s="1"/>
  <c r="EC263" i="1" a="1"/>
  <c r="EC263" i="1" s="1"/>
  <c r="EB263" i="1" a="1"/>
  <c r="EB263" i="1" s="1"/>
  <c r="EA263" i="1" a="1"/>
  <c r="EA263" i="1" s="1"/>
  <c r="DZ263" i="1" a="1"/>
  <c r="DZ263" i="1" s="1"/>
  <c r="DY263" i="1" a="1"/>
  <c r="DY263" i="1" s="1"/>
  <c r="DX263" i="1" a="1"/>
  <c r="DX263" i="1" s="1"/>
  <c r="DW263" i="1" a="1"/>
  <c r="DW263" i="1" s="1"/>
  <c r="DV263" i="1" a="1"/>
  <c r="DV263" i="1" s="1"/>
  <c r="DU263" i="1" a="1"/>
  <c r="DU263" i="1" s="1"/>
  <c r="DT263" i="1" a="1"/>
  <c r="DT263" i="1" s="1"/>
  <c r="DS263" i="1" a="1"/>
  <c r="DS263" i="1" s="1"/>
  <c r="DR263" i="1" a="1"/>
  <c r="DR263" i="1" s="1"/>
  <c r="DQ263" i="1" a="1"/>
  <c r="DQ263" i="1" s="1"/>
  <c r="DP263" i="1" a="1"/>
  <c r="DP263" i="1" s="1"/>
  <c r="DO263" i="1" a="1"/>
  <c r="DO263" i="1" s="1"/>
  <c r="DN263" i="1" a="1"/>
  <c r="DN263" i="1" s="1"/>
  <c r="DM263" i="1" a="1"/>
  <c r="DM263" i="1" s="1"/>
  <c r="DL263" i="1" a="1"/>
  <c r="DL263" i="1" s="1"/>
  <c r="DK263" i="1" a="1"/>
  <c r="DK263" i="1" s="1"/>
  <c r="DJ263" i="1" a="1"/>
  <c r="DJ263" i="1" s="1"/>
  <c r="DI263" i="1" a="1"/>
  <c r="DI263" i="1" s="1"/>
  <c r="DH263" i="1" a="1"/>
  <c r="DH263" i="1" s="1"/>
  <c r="DG263" i="1" a="1"/>
  <c r="DG263" i="1" s="1"/>
  <c r="DF263" i="1" a="1"/>
  <c r="DF263" i="1" s="1"/>
  <c r="DE263" i="1" a="1"/>
  <c r="DE263" i="1" s="1"/>
  <c r="DD263" i="1" a="1"/>
  <c r="DD263" i="1" s="1"/>
  <c r="DC263" i="1" a="1"/>
  <c r="DC263" i="1" s="1"/>
  <c r="DB263" i="1" a="1"/>
  <c r="DB263" i="1" s="1"/>
  <c r="DA263" i="1" a="1"/>
  <c r="DA263" i="1" s="1"/>
  <c r="CZ263" i="1" a="1"/>
  <c r="CZ263" i="1" s="1"/>
  <c r="CY263" i="1" a="1"/>
  <c r="CY263" i="1" s="1"/>
  <c r="CX263" i="1" a="1"/>
  <c r="CX263" i="1" s="1"/>
  <c r="CW263" i="1" a="1"/>
  <c r="CW263" i="1" s="1"/>
  <c r="CV263" i="1" a="1"/>
  <c r="CV263" i="1" s="1"/>
  <c r="CU263" i="1" a="1"/>
  <c r="CU263" i="1" s="1"/>
  <c r="CT263" i="1" a="1"/>
  <c r="CT263" i="1" s="1"/>
  <c r="CS263" i="1" a="1"/>
  <c r="CS263" i="1" s="1"/>
  <c r="CR263" i="1" a="1"/>
  <c r="CR263" i="1" s="1"/>
  <c r="CQ263" i="1" a="1"/>
  <c r="CQ263" i="1" s="1"/>
  <c r="CP263" i="1" a="1"/>
  <c r="CP263" i="1" s="1"/>
  <c r="CO263" i="1" a="1"/>
  <c r="CO263" i="1" s="1"/>
  <c r="CN263" i="1" a="1"/>
  <c r="CN263" i="1" s="1"/>
  <c r="CM263" i="1" a="1"/>
  <c r="CM263" i="1" s="1"/>
  <c r="CL263" i="1" a="1"/>
  <c r="CL263" i="1" s="1"/>
  <c r="CK263" i="1" a="1"/>
  <c r="CK263" i="1" s="1"/>
  <c r="CJ263" i="1" a="1"/>
  <c r="CJ263" i="1" s="1"/>
  <c r="CI263" i="1" a="1"/>
  <c r="CI263" i="1" s="1"/>
  <c r="CH263" i="1" a="1"/>
  <c r="CH263" i="1" s="1"/>
  <c r="CG263" i="1" a="1"/>
  <c r="CG263" i="1" s="1"/>
  <c r="CF263" i="1" a="1"/>
  <c r="CF263" i="1" s="1"/>
  <c r="CE263" i="1" a="1"/>
  <c r="CE263" i="1" s="1"/>
  <c r="CD263" i="1" a="1"/>
  <c r="CD263" i="1" s="1"/>
  <c r="CC263" i="1" a="1"/>
  <c r="CC263" i="1" s="1"/>
  <c r="CB263" i="1" a="1"/>
  <c r="CB263" i="1" s="1"/>
  <c r="CA263" i="1" a="1"/>
  <c r="CA263" i="1" s="1"/>
  <c r="BZ263" i="1" a="1"/>
  <c r="BZ263" i="1" s="1"/>
  <c r="BY263" i="1" a="1"/>
  <c r="BY263" i="1" s="1"/>
  <c r="BX263" i="1" a="1"/>
  <c r="BX263" i="1" s="1"/>
  <c r="BW263" i="1" a="1"/>
  <c r="BW263" i="1" s="1"/>
  <c r="BV263" i="1" a="1"/>
  <c r="BV263" i="1" s="1"/>
  <c r="BU263" i="1" a="1"/>
  <c r="BU263" i="1" s="1"/>
  <c r="BT263" i="1" a="1"/>
  <c r="BT263" i="1" s="1"/>
  <c r="BS263" i="1" a="1"/>
  <c r="BS263" i="1" s="1"/>
  <c r="BR263" i="1" a="1"/>
  <c r="BR263" i="1" s="1"/>
  <c r="BQ263" i="1" a="1"/>
  <c r="BQ263" i="1" s="1"/>
  <c r="BP263" i="1" a="1"/>
  <c r="BP263" i="1" s="1"/>
  <c r="BO263" i="1" a="1"/>
  <c r="BO263" i="1" s="1"/>
  <c r="G267" i="1" l="1"/>
  <c r="DW278" i="1"/>
  <c r="DP278" i="1"/>
  <c r="EE278" i="1"/>
  <c r="DK278" i="1"/>
  <c r="EC278" i="1"/>
  <c r="DL278" i="1"/>
  <c r="DN278" i="1"/>
  <c r="DT278" i="1"/>
  <c r="EA278" i="1"/>
  <c r="EB278" i="1"/>
  <c r="EH278" i="1"/>
  <c r="DV278" i="1"/>
  <c r="DK297" i="1"/>
  <c r="DL294" i="1" s="1"/>
  <c r="DL297" i="1" s="1"/>
  <c r="DO311" i="1"/>
  <c r="DO312" i="1" s="1"/>
  <c r="ED278" i="1"/>
  <c r="DV311" i="1"/>
  <c r="DV312" i="1" s="1"/>
  <c r="DM278" i="1"/>
  <c r="DS278" i="1"/>
  <c r="DY278" i="1"/>
  <c r="EH311" i="1"/>
  <c r="EH312" i="1" s="1"/>
  <c r="DO278" i="1"/>
  <c r="DK311" i="1"/>
  <c r="DK312" i="1" s="1"/>
  <c r="DW311" i="1"/>
  <c r="DW312" i="1" s="1"/>
  <c r="DX311" i="1"/>
  <c r="DX312" i="1" s="1"/>
  <c r="EC311" i="1"/>
  <c r="EC312" i="1" s="1"/>
  <c r="DM311" i="1"/>
  <c r="DM312" i="1" s="1"/>
  <c r="DY311" i="1"/>
  <c r="DY312" i="1" s="1"/>
  <c r="ED311" i="1"/>
  <c r="ED312" i="1" s="1"/>
  <c r="DU278" i="1"/>
  <c r="DN311" i="1"/>
  <c r="DN312" i="1" s="1"/>
  <c r="EE311" i="1"/>
  <c r="EE312" i="1" s="1"/>
  <c r="DS311" i="1"/>
  <c r="DS312" i="1" s="1"/>
  <c r="DT311" i="1"/>
  <c r="DT312" i="1" s="1"/>
  <c r="DU311" i="1"/>
  <c r="DU312" i="1" s="1"/>
  <c r="DP311" i="1"/>
  <c r="DP312" i="1" s="1"/>
  <c r="DL311" i="1"/>
  <c r="DL312" i="1" s="1"/>
  <c r="DQ311" i="1"/>
  <c r="DQ312" i="1" s="1"/>
  <c r="DZ311" i="1"/>
  <c r="DZ312" i="1" s="1"/>
  <c r="DQ278" i="1"/>
  <c r="DZ278" i="1"/>
  <c r="DR311" i="1"/>
  <c r="DR312" i="1" s="1"/>
  <c r="EA311" i="1"/>
  <c r="EA312" i="1" s="1"/>
  <c r="EF311" i="1"/>
  <c r="EF312" i="1" s="1"/>
  <c r="DR278" i="1"/>
  <c r="EF278" i="1"/>
  <c r="EB311" i="1"/>
  <c r="EB312" i="1" s="1"/>
  <c r="EG311" i="1"/>
  <c r="EG312" i="1" s="1"/>
  <c r="DX278" i="1"/>
  <c r="EG278" i="1"/>
  <c r="DU301" i="1" a="1"/>
  <c r="DU301" i="1" s="1"/>
  <c r="DO301" i="1" a="1"/>
  <c r="DO301" i="1" s="1"/>
  <c r="DV301" i="1" a="1"/>
  <c r="DV301" i="1" s="1"/>
  <c r="DP301" i="1" a="1"/>
  <c r="DP301" i="1" s="1"/>
  <c r="DQ301" i="1" a="1"/>
  <c r="DQ301" i="1" s="1"/>
  <c r="DK301" i="1" a="1"/>
  <c r="DK301" i="1" s="1"/>
  <c r="DR301" i="1" a="1"/>
  <c r="DR301" i="1" s="1"/>
  <c r="DL301" i="1" a="1"/>
  <c r="DL301" i="1" s="1"/>
  <c r="DM301" i="1" a="1"/>
  <c r="DM301" i="1" s="1"/>
  <c r="DS301" i="1" a="1"/>
  <c r="DS301" i="1" s="1"/>
  <c r="DN301" i="1" a="1"/>
  <c r="DN301" i="1" s="1"/>
  <c r="DT301" i="1" a="1"/>
  <c r="DT301" i="1" s="1"/>
  <c r="H262" i="1" l="1"/>
  <c r="H267" i="1" s="1"/>
  <c r="G270" i="1"/>
  <c r="G271" i="1"/>
  <c r="DK302" i="1"/>
  <c r="DL302" i="1"/>
  <c r="DM294" i="1"/>
  <c r="DW301" i="1" a="1"/>
  <c r="DW301" i="1" s="1"/>
  <c r="I262" i="1" l="1"/>
  <c r="I267" i="1" s="1"/>
  <c r="H270" i="1"/>
  <c r="H271" i="1"/>
  <c r="DM297" i="1"/>
  <c r="DX301" i="1" a="1"/>
  <c r="DX301" i="1" s="1"/>
  <c r="J262" i="1" l="1"/>
  <c r="J267" i="1" s="1"/>
  <c r="I271" i="1"/>
  <c r="I270" i="1"/>
  <c r="DN294" i="1"/>
  <c r="DM302" i="1"/>
  <c r="K262" i="1" l="1"/>
  <c r="K267" i="1" s="1"/>
  <c r="J271" i="1"/>
  <c r="J270" i="1"/>
  <c r="DN297" i="1"/>
  <c r="DY301" i="1" a="1"/>
  <c r="DY301" i="1" s="1"/>
  <c r="K271" i="1" l="1"/>
  <c r="L262" i="1"/>
  <c r="L267" i="1" s="1"/>
  <c r="K270" i="1"/>
  <c r="DN302" i="1"/>
  <c r="DO294" i="1"/>
  <c r="L271" i="1" l="1"/>
  <c r="M262" i="1"/>
  <c r="M267" i="1" s="1"/>
  <c r="L270" i="1"/>
  <c r="DO297" i="1"/>
  <c r="DZ301" i="1" a="1"/>
  <c r="DZ301" i="1" s="1"/>
  <c r="M270" i="1" l="1"/>
  <c r="N262" i="1"/>
  <c r="N267" i="1" s="1"/>
  <c r="M271" i="1"/>
  <c r="DP294" i="1"/>
  <c r="DO302" i="1"/>
  <c r="N270" i="1" l="1"/>
  <c r="N271" i="1"/>
  <c r="O262" i="1"/>
  <c r="O267" i="1" s="1"/>
  <c r="DP297" i="1"/>
  <c r="EA301" i="1" a="1"/>
  <c r="EA301" i="1" s="1"/>
  <c r="O270" i="1" l="1"/>
  <c r="O271" i="1"/>
  <c r="P262" i="1"/>
  <c r="P267" i="1" s="1"/>
  <c r="DP302" i="1"/>
  <c r="DQ294" i="1"/>
  <c r="Q262" i="1" l="1"/>
  <c r="Q267" i="1" s="1"/>
  <c r="P270" i="1"/>
  <c r="P271" i="1"/>
  <c r="DQ297" i="1"/>
  <c r="EB301" i="1" a="1"/>
  <c r="EB301" i="1" s="1"/>
  <c r="R262" i="1" l="1"/>
  <c r="R267" i="1" s="1"/>
  <c r="Q271" i="1"/>
  <c r="Q270" i="1"/>
  <c r="DR294" i="1"/>
  <c r="DQ302" i="1"/>
  <c r="S262" i="1" l="1"/>
  <c r="S267" i="1" s="1"/>
  <c r="R271" i="1"/>
  <c r="R270" i="1"/>
  <c r="DR297" i="1"/>
  <c r="EC301" i="1" a="1"/>
  <c r="EC301" i="1" s="1"/>
  <c r="T262" i="1" l="1"/>
  <c r="T267" i="1" s="1"/>
  <c r="S271" i="1"/>
  <c r="S270" i="1"/>
  <c r="DR302" i="1"/>
  <c r="DS294" i="1"/>
  <c r="U262" i="1" l="1"/>
  <c r="U267" i="1" s="1"/>
  <c r="T271" i="1"/>
  <c r="T270" i="1"/>
  <c r="DS297" i="1"/>
  <c r="ED301" i="1" a="1"/>
  <c r="ED301" i="1" s="1"/>
  <c r="U270" i="1" l="1"/>
  <c r="V262" i="1"/>
  <c r="V267" i="1" s="1"/>
  <c r="U271" i="1"/>
  <c r="DT294" i="1"/>
  <c r="DS302" i="1"/>
  <c r="V270" i="1" l="1"/>
  <c r="V271" i="1"/>
  <c r="W262" i="1"/>
  <c r="W267" i="1" s="1"/>
  <c r="DT297" i="1"/>
  <c r="EE301" i="1" a="1"/>
  <c r="EE301" i="1" s="1"/>
  <c r="W270" i="1" l="1"/>
  <c r="X262" i="1"/>
  <c r="X267" i="1" s="1"/>
  <c r="W271" i="1"/>
  <c r="DT302" i="1"/>
  <c r="DU294" i="1"/>
  <c r="X270" i="1" l="1"/>
  <c r="Y262" i="1"/>
  <c r="Y267" i="1" s="1"/>
  <c r="X271" i="1"/>
  <c r="DU297" i="1"/>
  <c r="EF301" i="1" a="1"/>
  <c r="EF301" i="1" s="1"/>
  <c r="Z262" i="1" l="1"/>
  <c r="Z267" i="1" s="1"/>
  <c r="Y271" i="1"/>
  <c r="Y270" i="1"/>
  <c r="DV294" i="1"/>
  <c r="DU302" i="1"/>
  <c r="AA262" i="1" l="1"/>
  <c r="AA267" i="1" s="1"/>
  <c r="Z271" i="1"/>
  <c r="Z270" i="1"/>
  <c r="DV297" i="1"/>
  <c r="EG301" i="1" a="1"/>
  <c r="EG301" i="1" s="1"/>
  <c r="AA271" i="1" l="1"/>
  <c r="AB262" i="1"/>
  <c r="AB267" i="1" s="1"/>
  <c r="AA270" i="1"/>
  <c r="DV302" i="1"/>
  <c r="DW294" i="1"/>
  <c r="AC262" i="1" l="1"/>
  <c r="AC267" i="1" s="1"/>
  <c r="AB271" i="1"/>
  <c r="AB270" i="1"/>
  <c r="DW297" i="1"/>
  <c r="EH301" i="1" a="1"/>
  <c r="EH301" i="1" s="1"/>
  <c r="AC270" i="1" l="1"/>
  <c r="AD262" i="1"/>
  <c r="AD267" i="1" s="1"/>
  <c r="AC271" i="1"/>
  <c r="DX294" i="1"/>
  <c r="DX297" i="1" s="1"/>
  <c r="DW302" i="1"/>
  <c r="AD270" i="1" l="1"/>
  <c r="AE262" i="1"/>
  <c r="AE267" i="1" s="1"/>
  <c r="AD271" i="1"/>
  <c r="DX302" i="1"/>
  <c r="DY294" i="1"/>
  <c r="DY297" i="1" s="1"/>
  <c r="AE270" i="1" l="1"/>
  <c r="AF262" i="1"/>
  <c r="AF267" i="1" s="1"/>
  <c r="AE271" i="1"/>
  <c r="DY302" i="1"/>
  <c r="DZ294" i="1"/>
  <c r="DZ297" i="1" s="1"/>
  <c r="AF270" i="1" l="1"/>
  <c r="AG262" i="1"/>
  <c r="AG267" i="1" s="1"/>
  <c r="AF271" i="1"/>
  <c r="EA294" i="1"/>
  <c r="EA297" i="1" s="1"/>
  <c r="DZ302" i="1"/>
  <c r="AH262" i="1" l="1"/>
  <c r="AH267" i="1" s="1"/>
  <c r="AG271" i="1"/>
  <c r="AG270" i="1"/>
  <c r="EB294" i="1"/>
  <c r="EB297" i="1" s="1"/>
  <c r="EA302" i="1"/>
  <c r="AI262" i="1" l="1"/>
  <c r="AI267" i="1" s="1"/>
  <c r="AH271" i="1"/>
  <c r="AH270" i="1"/>
  <c r="EB302" i="1"/>
  <c r="EC294" i="1"/>
  <c r="EC297" i="1" s="1"/>
  <c r="AI271" i="1" l="1"/>
  <c r="AJ262" i="1"/>
  <c r="AJ267" i="1" s="1"/>
  <c r="AI270" i="1"/>
  <c r="ED294" i="1"/>
  <c r="ED297" i="1" s="1"/>
  <c r="EC302" i="1"/>
  <c r="AJ271" i="1" l="1"/>
  <c r="AK262" i="1"/>
  <c r="AK267" i="1" s="1"/>
  <c r="AJ270" i="1"/>
  <c r="ED302" i="1"/>
  <c r="EE294" i="1"/>
  <c r="EE297" i="1" s="1"/>
  <c r="AK270" i="1" l="1"/>
  <c r="AK271" i="1"/>
  <c r="AL262" i="1"/>
  <c r="AL267" i="1" s="1"/>
  <c r="EF294" i="1"/>
  <c r="EF297" i="1" s="1"/>
  <c r="EE302" i="1"/>
  <c r="AM262" i="1" l="1"/>
  <c r="AM267" i="1" s="1"/>
  <c r="AL270" i="1"/>
  <c r="AL271" i="1"/>
  <c r="EF302" i="1"/>
  <c r="EG294" i="1"/>
  <c r="EG297" i="1" s="1"/>
  <c r="AN262" i="1" l="1"/>
  <c r="AN267" i="1" s="1"/>
  <c r="AM270" i="1"/>
  <c r="AM271" i="1"/>
  <c r="EG302" i="1"/>
  <c r="EH294" i="1"/>
  <c r="EH297" i="1" s="1"/>
  <c r="EH302" i="1" s="1"/>
  <c r="AO262" i="1" l="1"/>
  <c r="AO267" i="1" s="1"/>
  <c r="AN270" i="1"/>
  <c r="AN271" i="1"/>
  <c r="AP262" i="1" l="1"/>
  <c r="AP267" i="1" s="1"/>
  <c r="AO271" i="1"/>
  <c r="AO270" i="1"/>
  <c r="AQ262" i="1" l="1"/>
  <c r="AQ267" i="1" s="1"/>
  <c r="AP271" i="1"/>
  <c r="AP270" i="1"/>
  <c r="AQ271" i="1" l="1"/>
  <c r="AR262" i="1"/>
  <c r="AR267" i="1" s="1"/>
  <c r="AQ270" i="1"/>
  <c r="AR271" i="1" l="1"/>
  <c r="AS262" i="1"/>
  <c r="AS267" i="1" s="1"/>
  <c r="AR270" i="1"/>
  <c r="AS270" i="1" l="1"/>
  <c r="AT262" i="1"/>
  <c r="AT267" i="1" s="1"/>
  <c r="AS271" i="1"/>
  <c r="AT270" i="1" l="1"/>
  <c r="AT271" i="1"/>
  <c r="AU262" i="1"/>
  <c r="AU267" i="1" s="1"/>
  <c r="AU270" i="1" l="1"/>
  <c r="AU271" i="1"/>
  <c r="AV262" i="1"/>
  <c r="AV267" i="1" s="1"/>
  <c r="AW262" i="1" l="1"/>
  <c r="AW267" i="1" s="1"/>
  <c r="AV270" i="1"/>
  <c r="AV271" i="1"/>
  <c r="AX262" i="1" l="1"/>
  <c r="AX267" i="1" s="1"/>
  <c r="AW271" i="1"/>
  <c r="AW270" i="1"/>
  <c r="AY262" i="1" l="1"/>
  <c r="AY267" i="1" s="1"/>
  <c r="AX271" i="1"/>
  <c r="AX270" i="1"/>
  <c r="AZ262" i="1" l="1"/>
  <c r="AZ267" i="1" s="1"/>
  <c r="AY271" i="1"/>
  <c r="AY270" i="1"/>
  <c r="BA262" i="1" l="1"/>
  <c r="BA267" i="1" s="1"/>
  <c r="AZ271" i="1"/>
  <c r="AZ270" i="1"/>
  <c r="BA270" i="1" l="1"/>
  <c r="BB262" i="1"/>
  <c r="BB267" i="1" s="1"/>
  <c r="BA271" i="1"/>
  <c r="BB270" i="1" l="1"/>
  <c r="BB271" i="1"/>
  <c r="BC262" i="1"/>
  <c r="BC267" i="1" s="1"/>
  <c r="BC270" i="1" l="1"/>
  <c r="BD262" i="1"/>
  <c r="BD267" i="1" s="1"/>
  <c r="BC271" i="1"/>
  <c r="BD270" i="1" l="1"/>
  <c r="BE262" i="1"/>
  <c r="BE267" i="1" s="1"/>
  <c r="BD271" i="1"/>
  <c r="BF262" i="1" l="1"/>
  <c r="BF267" i="1" s="1"/>
  <c r="BE271" i="1"/>
  <c r="BE270" i="1"/>
  <c r="BG262" i="1" l="1"/>
  <c r="BG267" i="1" s="1"/>
  <c r="BF271" i="1"/>
  <c r="BF270" i="1"/>
  <c r="BG271" i="1" l="1"/>
  <c r="BH262" i="1"/>
  <c r="BH267" i="1" s="1"/>
  <c r="BG270" i="1"/>
  <c r="BI262" i="1" l="1"/>
  <c r="BI267" i="1" s="1"/>
  <c r="BH271" i="1"/>
  <c r="BH270" i="1"/>
  <c r="BH272" i="1" s="1"/>
  <c r="BI270" i="1" l="1"/>
  <c r="BI272" i="1" s="1"/>
  <c r="BJ262" i="1"/>
  <c r="BJ267" i="1" s="1"/>
  <c r="BI271" i="1"/>
  <c r="BJ270" i="1" l="1"/>
  <c r="BJ272" i="1" s="1"/>
  <c r="BK262" i="1"/>
  <c r="BK267" i="1" s="1"/>
  <c r="BJ271" i="1"/>
  <c r="BK270" i="1" l="1"/>
  <c r="BK272" i="1" s="1"/>
  <c r="BL262" i="1"/>
  <c r="BL267" i="1" s="1"/>
  <c r="BK271" i="1"/>
  <c r="BL270" i="1" l="1"/>
  <c r="BL272" i="1" s="1"/>
  <c r="BM262" i="1"/>
  <c r="BM267" i="1" s="1"/>
  <c r="BL271" i="1"/>
  <c r="BN262" i="1" l="1"/>
  <c r="BN267" i="1" s="1"/>
  <c r="BM271" i="1"/>
  <c r="BM270" i="1"/>
  <c r="BM272" i="1" s="1"/>
  <c r="BN271" i="1" l="1"/>
  <c r="BN270" i="1"/>
  <c r="BN272" i="1" s="1"/>
  <c r="BO262" i="1"/>
  <c r="BO267" i="1" s="1"/>
  <c r="BO271" i="1" l="1"/>
  <c r="BO270" i="1"/>
  <c r="BO272" i="1" s="1"/>
  <c r="BP262" i="1"/>
  <c r="BP267" i="1" s="1"/>
  <c r="BP270" i="1" l="1"/>
  <c r="BP272" i="1" s="1"/>
  <c r="BP271" i="1"/>
  <c r="BQ262" i="1"/>
  <c r="BQ267" i="1" s="1"/>
  <c r="BQ271" i="1" l="1"/>
  <c r="BQ270" i="1"/>
  <c r="BQ272" i="1" s="1"/>
  <c r="BR262" i="1"/>
  <c r="BR267" i="1" s="1"/>
  <c r="BR271" i="1" l="1"/>
  <c r="BR270" i="1"/>
  <c r="BR272" i="1" s="1"/>
  <c r="BS262" i="1"/>
  <c r="BS267" i="1" s="1"/>
  <c r="BS271" i="1" l="1"/>
  <c r="BS270" i="1"/>
  <c r="BS272" i="1" s="1"/>
  <c r="BT262" i="1"/>
  <c r="BT267" i="1" s="1"/>
  <c r="BT271" i="1" l="1"/>
  <c r="BT270" i="1"/>
  <c r="BT272" i="1" s="1"/>
  <c r="BU262" i="1"/>
  <c r="BU267" i="1" s="1"/>
  <c r="BU270" i="1" l="1"/>
  <c r="BU272" i="1" s="1"/>
  <c r="BV262" i="1"/>
  <c r="BV267" i="1" s="1"/>
  <c r="BU271" i="1"/>
  <c r="BV270" i="1" l="1"/>
  <c r="BV272" i="1" s="1"/>
  <c r="BW262" i="1"/>
  <c r="BW267" i="1" s="1"/>
  <c r="BV271" i="1"/>
  <c r="BW271" i="1" l="1"/>
  <c r="BW270" i="1"/>
  <c r="BW272" i="1" s="1"/>
  <c r="BX262" i="1"/>
  <c r="BX267" i="1" s="1"/>
  <c r="BX270" i="1" l="1"/>
  <c r="BX272" i="1" s="1"/>
  <c r="BX271" i="1"/>
  <c r="BY262" i="1"/>
  <c r="BY267" i="1" s="1"/>
  <c r="BY271" i="1" l="1"/>
  <c r="BZ262" i="1"/>
  <c r="BZ267" i="1" s="1"/>
  <c r="BY270" i="1"/>
  <c r="BY272" i="1" s="1"/>
  <c r="BZ271" i="1" l="1"/>
  <c r="BZ270" i="1"/>
  <c r="BZ272" i="1" s="1"/>
  <c r="CA262" i="1"/>
  <c r="CA267" i="1" s="1"/>
  <c r="CA271" i="1" l="1"/>
  <c r="CA270" i="1"/>
  <c r="CA272" i="1" s="1"/>
  <c r="CB262" i="1"/>
  <c r="CB267" i="1" s="1"/>
  <c r="CB271" i="1" l="1"/>
  <c r="CB270" i="1"/>
  <c r="CB272" i="1" s="1"/>
  <c r="CC262" i="1"/>
  <c r="CC267" i="1" s="1"/>
  <c r="CC270" i="1" l="1"/>
  <c r="CC272" i="1" s="1"/>
  <c r="CC271" i="1"/>
  <c r="CD262" i="1"/>
  <c r="CD267" i="1" s="1"/>
  <c r="CD270" i="1" l="1"/>
  <c r="CD272" i="1" s="1"/>
  <c r="CD271" i="1"/>
  <c r="CE262" i="1"/>
  <c r="CE267" i="1" s="1"/>
  <c r="CE270" i="1" l="1"/>
  <c r="CE272" i="1" s="1"/>
  <c r="CE271" i="1"/>
  <c r="CF262" i="1"/>
  <c r="CF267" i="1" s="1"/>
  <c r="CF270" i="1" l="1"/>
  <c r="CF272" i="1" s="1"/>
  <c r="CF271" i="1"/>
  <c r="CG262" i="1"/>
  <c r="CG267" i="1" s="1"/>
  <c r="CG271" i="1" l="1"/>
  <c r="CG270" i="1"/>
  <c r="CG272" i="1" s="1"/>
  <c r="CH262" i="1"/>
  <c r="CH267" i="1" s="1"/>
  <c r="CH271" i="1" l="1"/>
  <c r="CH270" i="1"/>
  <c r="CH272" i="1" s="1"/>
  <c r="CI262" i="1"/>
  <c r="CI267" i="1" s="1"/>
  <c r="CI271" i="1" l="1"/>
  <c r="CI270" i="1"/>
  <c r="CI272" i="1" s="1"/>
  <c r="CJ262" i="1"/>
  <c r="CJ267" i="1" s="1"/>
  <c r="CJ271" i="1" l="1"/>
  <c r="CJ270" i="1"/>
  <c r="CJ272" i="1" s="1"/>
  <c r="CK262" i="1"/>
  <c r="CK267" i="1" s="1"/>
  <c r="CK271" i="1" l="1"/>
  <c r="CK270" i="1"/>
  <c r="CK272" i="1" s="1"/>
  <c r="CL262" i="1"/>
  <c r="CL267" i="1" s="1"/>
  <c r="CL270" i="1" l="1"/>
  <c r="CL272" i="1" s="1"/>
  <c r="CL271" i="1"/>
  <c r="CM262" i="1"/>
  <c r="CM267" i="1" s="1"/>
  <c r="CM270" i="1" l="1"/>
  <c r="CM272" i="1" s="1"/>
  <c r="CM271" i="1"/>
  <c r="CN262" i="1"/>
  <c r="CN267" i="1" s="1"/>
  <c r="CN270" i="1" l="1"/>
  <c r="CN272" i="1" s="1"/>
  <c r="CN271" i="1"/>
  <c r="CO262" i="1"/>
  <c r="CO267" i="1" s="1"/>
  <c r="CO270" i="1" l="1"/>
  <c r="CO272" i="1" s="1"/>
  <c r="CO271" i="1"/>
  <c r="CP262" i="1"/>
  <c r="CP267" i="1" s="1"/>
  <c r="CP270" i="1" l="1"/>
  <c r="CP272" i="1" s="1"/>
  <c r="CP271" i="1"/>
  <c r="CQ262" i="1"/>
  <c r="CQ267" i="1" s="1"/>
  <c r="CQ271" i="1" l="1"/>
  <c r="CR262" i="1"/>
  <c r="CR267" i="1" s="1"/>
  <c r="CQ270" i="1"/>
  <c r="CQ272" i="1" s="1"/>
  <c r="CR271" i="1" l="1"/>
  <c r="CR270" i="1"/>
  <c r="CR272" i="1" s="1"/>
  <c r="CS262" i="1"/>
  <c r="CS267" i="1" s="1"/>
  <c r="CS271" i="1" l="1"/>
  <c r="CS270" i="1"/>
  <c r="CS272" i="1" s="1"/>
  <c r="CT262" i="1"/>
  <c r="CT267" i="1" s="1"/>
  <c r="CT271" i="1" l="1"/>
  <c r="CT270" i="1"/>
  <c r="CT272" i="1" s="1"/>
  <c r="CU262" i="1"/>
  <c r="CU267" i="1" s="1"/>
  <c r="CU270" i="1" l="1"/>
  <c r="CU272" i="1" s="1"/>
  <c r="CU271" i="1"/>
  <c r="CV262" i="1"/>
  <c r="CV267" i="1" s="1"/>
  <c r="CV270" i="1" l="1"/>
  <c r="CV272" i="1" s="1"/>
  <c r="CV271" i="1"/>
  <c r="CW262" i="1"/>
  <c r="CW267" i="1" s="1"/>
  <c r="CW270" i="1" l="1"/>
  <c r="CW272" i="1" s="1"/>
  <c r="CW271" i="1"/>
  <c r="CX262" i="1"/>
  <c r="CX267" i="1" s="1"/>
  <c r="CX270" i="1" l="1"/>
  <c r="CX272" i="1" s="1"/>
  <c r="CX271" i="1"/>
  <c r="CY262" i="1"/>
  <c r="CY267" i="1" s="1"/>
  <c r="DK282" i="1" l="1" a="1"/>
  <c r="DK282" i="1" s="1"/>
  <c r="DK281" i="1" a="1"/>
  <c r="DK281" i="1" s="1"/>
  <c r="CY270" i="1"/>
  <c r="CY272" i="1" s="1"/>
  <c r="CY271" i="1"/>
  <c r="CZ262" i="1"/>
  <c r="DK280" i="1" l="1"/>
  <c r="CZ267" i="1"/>
  <c r="DK279" i="1"/>
  <c r="DL282" i="1" l="1" a="1"/>
  <c r="DL282" i="1" s="1"/>
  <c r="CZ271" i="1"/>
  <c r="DA262" i="1"/>
  <c r="CZ270" i="1"/>
  <c r="CZ272" i="1" s="1"/>
  <c r="DL281" i="1" a="1"/>
  <c r="DL281" i="1" s="1"/>
  <c r="DL280" i="1" l="1"/>
  <c r="DA267" i="1"/>
  <c r="DL279" i="1"/>
  <c r="DM281" i="1" l="1" a="1"/>
  <c r="DM281" i="1" s="1"/>
  <c r="DM282" i="1" a="1"/>
  <c r="DM282" i="1" s="1"/>
  <c r="DA271" i="1"/>
  <c r="DA270" i="1"/>
  <c r="DA272" i="1" s="1"/>
  <c r="DB262" i="1"/>
  <c r="DM280" i="1" l="1"/>
  <c r="DM279" i="1"/>
  <c r="DB267" i="1"/>
  <c r="DN282" i="1" l="1" a="1"/>
  <c r="DN282" i="1" s="1"/>
  <c r="DB271" i="1"/>
  <c r="DB270" i="1"/>
  <c r="DB272" i="1" s="1"/>
  <c r="DC262" i="1"/>
  <c r="DN281" i="1" a="1"/>
  <c r="DN281" i="1" s="1"/>
  <c r="DN279" i="1" l="1"/>
  <c r="DN280" i="1"/>
  <c r="DC267" i="1"/>
  <c r="DO282" i="1" l="1" a="1"/>
  <c r="DO282" i="1" s="1"/>
  <c r="DC271" i="1"/>
  <c r="DC270" i="1"/>
  <c r="DC272" i="1" s="1"/>
  <c r="DD262" i="1"/>
  <c r="DO281" i="1" a="1"/>
  <c r="DO281" i="1" s="1"/>
  <c r="DO280" i="1" l="1"/>
  <c r="DO279" i="1"/>
  <c r="DD267" i="1"/>
  <c r="DP282" i="1" l="1" a="1"/>
  <c r="DP282" i="1" s="1"/>
  <c r="DD270" i="1"/>
  <c r="DD272" i="1" s="1"/>
  <c r="DD271" i="1"/>
  <c r="DE262" i="1"/>
  <c r="DP281" i="1" a="1"/>
  <c r="DP281" i="1" s="1"/>
  <c r="DP279" i="1" l="1"/>
  <c r="DP280" i="1"/>
  <c r="DE267" i="1"/>
  <c r="DQ282" i="1" l="1" a="1"/>
  <c r="DQ282" i="1" s="1"/>
  <c r="DE270" i="1"/>
  <c r="DE272" i="1" s="1"/>
  <c r="DE271" i="1"/>
  <c r="DF262" i="1"/>
  <c r="DQ281" i="1" a="1"/>
  <c r="DQ281" i="1" s="1"/>
  <c r="DQ279" i="1" l="1"/>
  <c r="DQ280" i="1"/>
  <c r="DF267" i="1"/>
  <c r="DR281" i="1" l="1" a="1"/>
  <c r="DR281" i="1" s="1"/>
  <c r="DF270" i="1"/>
  <c r="DF272" i="1" s="1"/>
  <c r="DF271" i="1"/>
  <c r="DG262" i="1"/>
  <c r="DR282" i="1" a="1"/>
  <c r="DR282" i="1" s="1"/>
  <c r="DR280" i="1" l="1"/>
  <c r="DR279" i="1"/>
  <c r="DG267" i="1"/>
  <c r="DS282" i="1" l="1" a="1"/>
  <c r="DS282" i="1" s="1"/>
  <c r="DS281" i="1" a="1"/>
  <c r="DS281" i="1" s="1"/>
  <c r="DH262" i="1"/>
  <c r="DG270" i="1"/>
  <c r="DG272" i="1" s="1"/>
  <c r="DG271" i="1"/>
  <c r="DS279" i="1" l="1"/>
  <c r="DH267" i="1"/>
  <c r="DS280" i="1"/>
  <c r="DT282" i="1" l="1" a="1"/>
  <c r="DT282" i="1" s="1"/>
  <c r="DH271" i="1"/>
  <c r="DI262" i="1"/>
  <c r="DH270" i="1"/>
  <c r="DH272" i="1" s="1"/>
  <c r="DT281" i="1" a="1"/>
  <c r="DT281" i="1" s="1"/>
  <c r="DT280" i="1" l="1"/>
  <c r="DT279" i="1"/>
  <c r="DI267" i="1"/>
  <c r="DU282" i="1" l="1" a="1"/>
  <c r="DU282" i="1" s="1"/>
  <c r="DI271" i="1"/>
  <c r="DJ262" i="1"/>
  <c r="DI270" i="1"/>
  <c r="DI272" i="1" s="1"/>
  <c r="DU281" i="1" a="1"/>
  <c r="DU281" i="1" s="1"/>
  <c r="DU280" i="1" l="1"/>
  <c r="DJ267" i="1"/>
  <c r="DU279" i="1"/>
  <c r="DV281" i="1" l="1" a="1"/>
  <c r="DV281" i="1" s="1"/>
  <c r="DJ271" i="1"/>
  <c r="DK262" i="1"/>
  <c r="DJ270" i="1"/>
  <c r="DJ272" i="1" s="1"/>
  <c r="DV282" i="1" a="1"/>
  <c r="DV282" i="1" s="1"/>
  <c r="DV280" i="1" l="1"/>
  <c r="DV279" i="1"/>
  <c r="DK267" i="1"/>
  <c r="DL262" i="1" l="1"/>
  <c r="DK298" i="1"/>
  <c r="DW281" i="1" a="1"/>
  <c r="DW281" i="1" s="1"/>
  <c r="DK271" i="1"/>
  <c r="DK273" i="1" s="1"/>
  <c r="DK270" i="1"/>
  <c r="DW282" i="1" a="1"/>
  <c r="DW282" i="1" s="1"/>
  <c r="DK272" i="1" l="1"/>
  <c r="DK308" i="1" s="1"/>
  <c r="DK309" i="1" s="1"/>
  <c r="DK300" i="1"/>
  <c r="DW279" i="1"/>
  <c r="DW280" i="1"/>
  <c r="DL267" i="1"/>
  <c r="DM262" i="1" l="1"/>
  <c r="DL270" i="1"/>
  <c r="DL271" i="1"/>
  <c r="DL273" i="1" s="1"/>
  <c r="DX281" i="1" a="1"/>
  <c r="DX281" i="1" s="1"/>
  <c r="DL298" i="1"/>
  <c r="DX282" i="1" a="1"/>
  <c r="DX282" i="1" s="1"/>
  <c r="DL300" i="1" l="1"/>
  <c r="DL272" i="1"/>
  <c r="DL308" i="1" s="1"/>
  <c r="DL309" i="1" s="1"/>
  <c r="DX279" i="1"/>
  <c r="DX280" i="1"/>
  <c r="DM267" i="1"/>
  <c r="DM270" i="1" l="1"/>
  <c r="DN262" i="1"/>
  <c r="DM298" i="1"/>
  <c r="DY281" i="1" a="1"/>
  <c r="DY281" i="1" s="1"/>
  <c r="DY282" i="1" a="1"/>
  <c r="DY282" i="1" s="1"/>
  <c r="DM271" i="1"/>
  <c r="DM273" i="1" s="1"/>
  <c r="DY279" i="1" l="1"/>
  <c r="DY280" i="1"/>
  <c r="DN267" i="1"/>
  <c r="DM272" i="1"/>
  <c r="DM308" i="1" s="1"/>
  <c r="DM309" i="1" s="1"/>
  <c r="DM300" i="1"/>
  <c r="DN270" i="1" l="1"/>
  <c r="DN271" i="1"/>
  <c r="DN273" i="1" s="1"/>
  <c r="DO262" i="1"/>
  <c r="DZ281" i="1" a="1"/>
  <c r="DZ281" i="1" s="1"/>
  <c r="DN298" i="1"/>
  <c r="DZ282" i="1" a="1"/>
  <c r="DZ282" i="1" s="1"/>
  <c r="DZ280" i="1" l="1"/>
  <c r="DZ279" i="1"/>
  <c r="DO267" i="1"/>
  <c r="DN272" i="1"/>
  <c r="DN308" i="1" s="1"/>
  <c r="DN309" i="1" s="1"/>
  <c r="DN300" i="1"/>
  <c r="DO271" i="1" l="1"/>
  <c r="DO273" i="1" s="1"/>
  <c r="DP262" i="1"/>
  <c r="DO298" i="1"/>
  <c r="EA281" i="1" a="1"/>
  <c r="EA281" i="1" s="1"/>
  <c r="EA282" i="1" a="1"/>
  <c r="EA282" i="1" s="1"/>
  <c r="DO270" i="1"/>
  <c r="DO272" i="1" l="1"/>
  <c r="DO308" i="1" s="1"/>
  <c r="DO309" i="1" s="1"/>
  <c r="DO300" i="1"/>
  <c r="EA279" i="1"/>
  <c r="EA280" i="1"/>
  <c r="DP267" i="1"/>
  <c r="DP270" i="1" l="1"/>
  <c r="DQ262" i="1"/>
  <c r="DP298" i="1"/>
  <c r="EB282" i="1" a="1"/>
  <c r="EB282" i="1" s="1"/>
  <c r="DP271" i="1"/>
  <c r="DP273" i="1" s="1"/>
  <c r="EB281" i="1" a="1"/>
  <c r="EB281" i="1" s="1"/>
  <c r="EB279" i="1" l="1"/>
  <c r="EB280" i="1"/>
  <c r="DQ267" i="1"/>
  <c r="DP272" i="1"/>
  <c r="DP308" i="1" s="1"/>
  <c r="DP309" i="1" s="1"/>
  <c r="DP300" i="1"/>
  <c r="DQ270" i="1" l="1"/>
  <c r="DQ298" i="1"/>
  <c r="EC282" i="1" a="1"/>
  <c r="EC282" i="1" s="1"/>
  <c r="DR262" i="1"/>
  <c r="EC281" i="1" a="1"/>
  <c r="EC281" i="1" s="1"/>
  <c r="DQ271" i="1"/>
  <c r="DQ273" i="1" s="1"/>
  <c r="EC280" i="1" l="1"/>
  <c r="EC279" i="1"/>
  <c r="DR267" i="1"/>
  <c r="DQ272" i="1"/>
  <c r="DQ308" i="1" s="1"/>
  <c r="DQ309" i="1" s="1"/>
  <c r="DQ300" i="1"/>
  <c r="DR270" i="1" l="1"/>
  <c r="DR298" i="1"/>
  <c r="ED282" i="1" a="1"/>
  <c r="ED282" i="1" s="1"/>
  <c r="DS262" i="1"/>
  <c r="ED281" i="1" a="1"/>
  <c r="ED281" i="1" s="1"/>
  <c r="DR271" i="1"/>
  <c r="DR273" i="1" s="1"/>
  <c r="ED280" i="1" l="1"/>
  <c r="ED279" i="1"/>
  <c r="DS267" i="1"/>
  <c r="DR272" i="1"/>
  <c r="DR308" i="1" s="1"/>
  <c r="DR309" i="1" s="1"/>
  <c r="DR300" i="1"/>
  <c r="DS271" i="1" l="1"/>
  <c r="DS273" i="1" s="1"/>
  <c r="DS270" i="1"/>
  <c r="DT262" i="1"/>
  <c r="DS298" i="1"/>
  <c r="EE281" i="1" a="1"/>
  <c r="EE281" i="1" s="1"/>
  <c r="EE282" i="1" a="1"/>
  <c r="EE282" i="1" s="1"/>
  <c r="EE280" i="1" l="1"/>
  <c r="EE279" i="1"/>
  <c r="DT267" i="1"/>
  <c r="DS300" i="1"/>
  <c r="DS272" i="1"/>
  <c r="DS308" i="1" s="1"/>
  <c r="DS309" i="1" s="1"/>
  <c r="DU262" i="1" l="1"/>
  <c r="DT270" i="1"/>
  <c r="DT271" i="1"/>
  <c r="DT273" i="1" s="1"/>
  <c r="EF282" i="1" a="1"/>
  <c r="EF282" i="1" s="1"/>
  <c r="DT298" i="1"/>
  <c r="EF281" i="1" a="1"/>
  <c r="EF281" i="1" s="1"/>
  <c r="DT272" i="1" l="1"/>
  <c r="DT308" i="1" s="1"/>
  <c r="DT309" i="1" s="1"/>
  <c r="DT300" i="1"/>
  <c r="EF279" i="1"/>
  <c r="EF280" i="1"/>
  <c r="DU267" i="1"/>
  <c r="DU270" i="1" l="1"/>
  <c r="EG282" i="1" a="1"/>
  <c r="EG282" i="1" s="1"/>
  <c r="DV262" i="1"/>
  <c r="DU298" i="1"/>
  <c r="DU271" i="1"/>
  <c r="DU273" i="1" s="1"/>
  <c r="EG281" i="1" a="1"/>
  <c r="EG281" i="1" s="1"/>
  <c r="EG279" i="1" l="1"/>
  <c r="EG280" i="1"/>
  <c r="DV267" i="1"/>
  <c r="DU272" i="1"/>
  <c r="DU308" i="1" s="1"/>
  <c r="DU309" i="1" s="1"/>
  <c r="DU300" i="1"/>
  <c r="DV270" i="1" l="1"/>
  <c r="DW262" i="1"/>
  <c r="DV298" i="1"/>
  <c r="EH282" i="1" a="1"/>
  <c r="EH282" i="1" s="1"/>
  <c r="EH281" i="1" a="1"/>
  <c r="EH281" i="1" s="1"/>
  <c r="DV271" i="1"/>
  <c r="DV273" i="1" s="1"/>
  <c r="EH280" i="1" l="1"/>
  <c r="EH279" i="1"/>
  <c r="DW267" i="1"/>
  <c r="DV272" i="1"/>
  <c r="DV308" i="1" s="1"/>
  <c r="DV309" i="1" s="1"/>
  <c r="DV300" i="1"/>
  <c r="DW298" i="1" l="1"/>
  <c r="DW271" i="1"/>
  <c r="DW273" i="1" s="1"/>
  <c r="DX262" i="1"/>
  <c r="DX267" i="1" s="1"/>
  <c r="DW270" i="1"/>
  <c r="DW272" i="1" l="1"/>
  <c r="DW308" i="1" s="1"/>
  <c r="DW309" i="1" s="1"/>
  <c r="DW300" i="1"/>
  <c r="DX298" i="1"/>
  <c r="DX271" i="1"/>
  <c r="DX273" i="1" s="1"/>
  <c r="DX270" i="1"/>
  <c r="DY262" i="1"/>
  <c r="DY267" i="1" s="1"/>
  <c r="DY271" i="1" l="1"/>
  <c r="DY273" i="1" s="1"/>
  <c r="DZ262" i="1"/>
  <c r="DZ267" i="1" s="1"/>
  <c r="DY298" i="1"/>
  <c r="DY270" i="1"/>
  <c r="DX272" i="1"/>
  <c r="DX308" i="1" s="1"/>
  <c r="DX309" i="1" s="1"/>
  <c r="DX300" i="1"/>
  <c r="DY272" i="1" l="1"/>
  <c r="DY308" i="1" s="1"/>
  <c r="DY309" i="1" s="1"/>
  <c r="DY300" i="1"/>
  <c r="EA262" i="1"/>
  <c r="EA267" i="1" s="1"/>
  <c r="DZ298" i="1"/>
  <c r="DZ271" i="1"/>
  <c r="DZ273" i="1" s="1"/>
  <c r="DZ270" i="1"/>
  <c r="DZ272" i="1" l="1"/>
  <c r="DZ308" i="1" s="1"/>
  <c r="DZ309" i="1" s="1"/>
  <c r="DZ300" i="1"/>
  <c r="EA270" i="1"/>
  <c r="EB262" i="1"/>
  <c r="EB267" i="1" s="1"/>
  <c r="EA271" i="1"/>
  <c r="EA273" i="1" s="1"/>
  <c r="EA298" i="1"/>
  <c r="EC262" i="1" l="1"/>
  <c r="EC267" i="1" s="1"/>
  <c r="EB298" i="1"/>
  <c r="EB270" i="1"/>
  <c r="EB271" i="1"/>
  <c r="EB273" i="1" s="1"/>
  <c r="EA300" i="1"/>
  <c r="EA272" i="1"/>
  <c r="EA308" i="1" s="1"/>
  <c r="EA309" i="1" s="1"/>
  <c r="EB272" i="1" l="1"/>
  <c r="EB308" i="1" s="1"/>
  <c r="EB309" i="1" s="1"/>
  <c r="EB300" i="1"/>
  <c r="EC270" i="1"/>
  <c r="ED262" i="1"/>
  <c r="ED267" i="1" s="1"/>
  <c r="EC298" i="1"/>
  <c r="EC271" i="1"/>
  <c r="EC273" i="1" s="1"/>
  <c r="EE262" i="1" l="1"/>
  <c r="EE267" i="1" s="1"/>
  <c r="ED298" i="1"/>
  <c r="ED271" i="1"/>
  <c r="ED273" i="1" s="1"/>
  <c r="ED270" i="1"/>
  <c r="EC272" i="1"/>
  <c r="EC308" i="1" s="1"/>
  <c r="EC309" i="1" s="1"/>
  <c r="EC300" i="1"/>
  <c r="ED272" i="1" l="1"/>
  <c r="ED308" i="1" s="1"/>
  <c r="ED309" i="1" s="1"/>
  <c r="ED300" i="1"/>
  <c r="EE270" i="1"/>
  <c r="EF262" i="1"/>
  <c r="EF267" i="1" s="1"/>
  <c r="EE298" i="1"/>
  <c r="EE271" i="1"/>
  <c r="EE273" i="1" s="1"/>
  <c r="EG262" i="1" l="1"/>
  <c r="EG267" i="1" s="1"/>
  <c r="EF298" i="1"/>
  <c r="EF271" i="1"/>
  <c r="EF273" i="1" s="1"/>
  <c r="EF270" i="1"/>
  <c r="EE272" i="1"/>
  <c r="EE308" i="1" s="1"/>
  <c r="EE309" i="1" s="1"/>
  <c r="EE300" i="1"/>
  <c r="EF272" i="1" l="1"/>
  <c r="EF308" i="1" s="1"/>
  <c r="EF309" i="1" s="1"/>
  <c r="EF300" i="1"/>
  <c r="EG271" i="1"/>
  <c r="EG273" i="1" s="1"/>
  <c r="EH262" i="1"/>
  <c r="EH267" i="1" s="1"/>
  <c r="EG298" i="1"/>
  <c r="EG270" i="1"/>
  <c r="EG300" i="1" l="1"/>
  <c r="EG272" i="1"/>
  <c r="EG308" i="1" s="1"/>
  <c r="EG309" i="1" s="1"/>
  <c r="EH298" i="1"/>
  <c r="EH270" i="1"/>
  <c r="EH271" i="1"/>
  <c r="EH273" i="1" s="1"/>
  <c r="EH300" i="1" l="1"/>
  <c r="EH272" i="1"/>
  <c r="EH308" i="1" s="1"/>
  <c r="EH3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<sst xmlns="http://schemas.openxmlformats.org/spreadsheetml/2006/main" count="295" uniqueCount="40">
  <si>
    <t>Customer</t>
  </si>
  <si>
    <t>MRR</t>
  </si>
  <si>
    <t>Begin</t>
  </si>
  <si>
    <t>new</t>
  </si>
  <si>
    <t>Upgrade</t>
  </si>
  <si>
    <t>Downgrade</t>
  </si>
  <si>
    <t>Churn</t>
  </si>
  <si>
    <t>End</t>
  </si>
  <si>
    <t>Growth Data</t>
  </si>
  <si>
    <t>ARR</t>
  </si>
  <si>
    <t>New ARR</t>
  </si>
  <si>
    <t>YOY G</t>
  </si>
  <si>
    <t>Max Customer Win</t>
  </si>
  <si>
    <t>Average Customer Win</t>
  </si>
  <si>
    <t>Retention Data</t>
  </si>
  <si>
    <t>Net New MRR</t>
  </si>
  <si>
    <t>TTM NDR</t>
  </si>
  <si>
    <t>TTM GDR</t>
  </si>
  <si>
    <t>Cohort NDR</t>
  </si>
  <si>
    <t>Cohort GDR</t>
  </si>
  <si>
    <t>Upgrades</t>
  </si>
  <si>
    <t>Downgrades</t>
  </si>
  <si>
    <t>Max Upgrade</t>
  </si>
  <si>
    <t>Average Upgrade</t>
  </si>
  <si>
    <t>Max Downgrade</t>
  </si>
  <si>
    <t>Average Downgrade</t>
  </si>
  <si>
    <t>Max Churn</t>
  </si>
  <si>
    <t>Average Churn</t>
  </si>
  <si>
    <t>Customer Counts</t>
  </si>
  <si>
    <t>New</t>
  </si>
  <si>
    <t>ACV</t>
  </si>
  <si>
    <t>Largest Customer</t>
  </si>
  <si>
    <t>Max Customer Concentration</t>
  </si>
  <si>
    <t>Gross Customer Retention</t>
  </si>
  <si>
    <t>Customer growth</t>
  </si>
  <si>
    <t>TTM Efficiency</t>
  </si>
  <si>
    <t>Net Loss</t>
  </si>
  <si>
    <t>TTM New ARR/TTM Net Loss</t>
  </si>
  <si>
    <t>Payback Period</t>
  </si>
  <si>
    <t>6mo New ARR/6mo Net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</si>
</sst>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&quot;$&quot;#,##0"/>
    <numFmt numFmtId="166" formatCode="&quot;$&quot;#,##0.00"/>
    <numFmt numFmtId="167" formatCode="0.00\x"/>
    <numFmt numFmtId="168" formatCode="0.0\ &quot;yrs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i/>
      <u/>
      <sz val="11"/>
      <name val="Aptos Narrow"/>
      <family val="2"/>
      <scheme val="minor"/>
    </font>
    <font>
      <b/>
      <i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1" fillId="0" borderId="1" xfId="0" applyNumberFormat="1" applyFont="1" applyBorder="1"/>
    <xf numFmtId="165" fontId="1" fillId="0" borderId="1" xfId="0" applyNumberFormat="1" applyFont="1" applyBorder="1"/>
    <xf numFmtId="164" fontId="3" fillId="0" borderId="0" xfId="1" applyNumberFormat="1" applyFont="1"/>
    <xf numFmtId="0" fontId="3" fillId="0" borderId="0" xfId="1" applyFont="1"/>
    <xf numFmtId="165" fontId="3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 vertical="center"/>
    </xf>
    <xf numFmtId="165" fontId="3" fillId="0" borderId="2" xfId="1" applyNumberFormat="1" applyFont="1" applyBorder="1"/>
    <xf numFmtId="165" fontId="5" fillId="0" borderId="0" xfId="1" applyNumberFormat="1" applyFont="1"/>
    <xf numFmtId="165" fontId="6" fillId="0" borderId="0" xfId="1" applyNumberFormat="1" applyFont="1"/>
    <xf numFmtId="9" fontId="3" fillId="0" borderId="0" xfId="1" applyNumberFormat="1" applyFont="1"/>
    <xf numFmtId="9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3" fontId="3" fillId="0" borderId="0" xfId="1" applyNumberFormat="1" applyFont="1"/>
    <xf numFmtId="3" fontId="3" fillId="0" borderId="2" xfId="1" applyNumberFormat="1" applyFont="1" applyBorder="1"/>
    <xf numFmtId="3" fontId="5" fillId="0" borderId="0" xfId="1" applyNumberFormat="1" applyFont="1"/>
    <xf numFmtId="0" fontId="6" fillId="0" borderId="0" xfId="1" applyFont="1"/>
    <xf numFmtId="165" fontId="7" fillId="0" borderId="0" xfId="1" applyNumberFormat="1" applyFont="1"/>
    <xf numFmtId="166" fontId="3" fillId="0" borderId="0" xfId="1" applyNumberFormat="1" applyFont="1"/>
    <xf numFmtId="167" fontId="3" fillId="0" borderId="0" xfId="1" applyNumberFormat="1" applyFont="1" applyAlignment="1">
      <alignment horizontal="right"/>
    </xf>
    <xf numFmtId="168" fontId="3" fillId="0" borderId="0" xfId="1" applyNumberFormat="1" applyFont="1"/>
    <xf numFmtId="168" fontId="3" fillId="0" borderId="0" xfId="1" applyNumberFormat="1" applyFont="1" applyAlignment="1">
      <alignment horizontal="right"/>
    </xf>
  </cellXfs>
  <cellStyles count="2">
    <cellStyle name="Normal" xfId="0" builtinId="0"/>
    <cellStyle name="Normal 5" xfId="1" xr:uid="{AA61CFF0-2519-4F2C-A47B-7645D67DC92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62BB-077C-4DA8-B01B-5152029F0F4E}">
  <dimension ref="B4:FM328"/>
  <sheetViews>
    <sheetView showGridLines="0" tabSelected="1" topLeftCell="DO233" zoomScale="80" zoomScaleNormal="80" workbookViewId="0">
      <selection activeCell="EH261" sqref="A261:XFD261"/>
    </sheetView>
  </sheetViews>
  <sheetFormatPr defaultColWidth="15.7109375" defaultRowHeight="15" x14ac:dyDescent="0.25"/>
  <cols>
    <col min="1" max="3" width="4.28515625" style="4" customWidth="1"/>
    <col min="4" max="4" width="26.7109375" style="4" customWidth="1"/>
    <col min="5" max="5" width="9" style="5" customWidth="1"/>
    <col min="6" max="6" width="1.7109375" style="4" customWidth="1"/>
    <col min="7" max="78" width="11.7109375" style="4" customWidth="1"/>
    <col min="79" max="88" width="10.85546875" style="4" customWidth="1"/>
    <col min="89" max="90" width="12" style="4" customWidth="1"/>
    <col min="91" max="123" width="13" style="4" customWidth="1"/>
    <col min="124" max="128" width="15.7109375" style="4" customWidth="1"/>
    <col min="129" max="16384" width="15.7109375" style="4"/>
  </cols>
  <sheetData>
    <row r="4" spans="2:169" ht="15.75" thickBot="1" x14ac:dyDescent="0.3">
      <c r="B4" s="1"/>
      <c r="C4" s="1"/>
      <c r="D4" s="1" t="s">
        <v>0</v>
      </c>
      <c r="E4" s="2"/>
      <c r="F4" s="1"/>
      <c r="G4" s="1">
        <v>42035</v>
      </c>
      <c r="H4" s="1">
        <f t="shared" ref="H4:BS4" si="0">DATE(YEAR(G4),MONTH(G4)+2,0)</f>
        <v>42063</v>
      </c>
      <c r="I4" s="1">
        <f t="shared" si="0"/>
        <v>42094</v>
      </c>
      <c r="J4" s="1">
        <f t="shared" si="0"/>
        <v>42124</v>
      </c>
      <c r="K4" s="1">
        <f t="shared" si="0"/>
        <v>42155</v>
      </c>
      <c r="L4" s="1">
        <f t="shared" si="0"/>
        <v>42185</v>
      </c>
      <c r="M4" s="1">
        <f t="shared" si="0"/>
        <v>42216</v>
      </c>
      <c r="N4" s="1">
        <f t="shared" si="0"/>
        <v>42247</v>
      </c>
      <c r="O4" s="1">
        <f t="shared" si="0"/>
        <v>42277</v>
      </c>
      <c r="P4" s="1">
        <f t="shared" si="0"/>
        <v>42308</v>
      </c>
      <c r="Q4" s="1">
        <f t="shared" si="0"/>
        <v>42338</v>
      </c>
      <c r="R4" s="1">
        <f t="shared" si="0"/>
        <v>42369</v>
      </c>
      <c r="S4" s="1">
        <f t="shared" si="0"/>
        <v>42400</v>
      </c>
      <c r="T4" s="1">
        <f t="shared" si="0"/>
        <v>42429</v>
      </c>
      <c r="U4" s="1">
        <f t="shared" si="0"/>
        <v>42460</v>
      </c>
      <c r="V4" s="1">
        <f t="shared" si="0"/>
        <v>42490</v>
      </c>
      <c r="W4" s="1">
        <f t="shared" si="0"/>
        <v>42521</v>
      </c>
      <c r="X4" s="1">
        <f t="shared" si="0"/>
        <v>42551</v>
      </c>
      <c r="Y4" s="1">
        <f t="shared" si="0"/>
        <v>42582</v>
      </c>
      <c r="Z4" s="1">
        <f t="shared" si="0"/>
        <v>42613</v>
      </c>
      <c r="AA4" s="1">
        <f t="shared" si="0"/>
        <v>42643</v>
      </c>
      <c r="AB4" s="1">
        <f t="shared" si="0"/>
        <v>42674</v>
      </c>
      <c r="AC4" s="1">
        <f t="shared" si="0"/>
        <v>42704</v>
      </c>
      <c r="AD4" s="1">
        <f t="shared" si="0"/>
        <v>42735</v>
      </c>
      <c r="AE4" s="1">
        <f t="shared" si="0"/>
        <v>42766</v>
      </c>
      <c r="AF4" s="1">
        <f t="shared" si="0"/>
        <v>42794</v>
      </c>
      <c r="AG4" s="1">
        <f t="shared" si="0"/>
        <v>42825</v>
      </c>
      <c r="AH4" s="1">
        <f t="shared" si="0"/>
        <v>42855</v>
      </c>
      <c r="AI4" s="1">
        <f t="shared" si="0"/>
        <v>42886</v>
      </c>
      <c r="AJ4" s="1">
        <f t="shared" si="0"/>
        <v>42916</v>
      </c>
      <c r="AK4" s="1">
        <f t="shared" si="0"/>
        <v>42947</v>
      </c>
      <c r="AL4" s="1">
        <f t="shared" si="0"/>
        <v>42978</v>
      </c>
      <c r="AM4" s="1">
        <f t="shared" si="0"/>
        <v>43008</v>
      </c>
      <c r="AN4" s="1">
        <f t="shared" si="0"/>
        <v>43039</v>
      </c>
      <c r="AO4" s="1">
        <f t="shared" si="0"/>
        <v>43069</v>
      </c>
      <c r="AP4" s="1">
        <f t="shared" si="0"/>
        <v>43100</v>
      </c>
      <c r="AQ4" s="1">
        <f t="shared" si="0"/>
        <v>43131</v>
      </c>
      <c r="AR4" s="1">
        <f t="shared" si="0"/>
        <v>43159</v>
      </c>
      <c r="AS4" s="1">
        <f t="shared" si="0"/>
        <v>43190</v>
      </c>
      <c r="AT4" s="1">
        <f t="shared" si="0"/>
        <v>43220</v>
      </c>
      <c r="AU4" s="1">
        <f t="shared" si="0"/>
        <v>43251</v>
      </c>
      <c r="AV4" s="1">
        <f t="shared" si="0"/>
        <v>43281</v>
      </c>
      <c r="AW4" s="1">
        <f t="shared" si="0"/>
        <v>43312</v>
      </c>
      <c r="AX4" s="1">
        <f t="shared" si="0"/>
        <v>43343</v>
      </c>
      <c r="AY4" s="1">
        <f t="shared" si="0"/>
        <v>43373</v>
      </c>
      <c r="AZ4" s="1">
        <f t="shared" si="0"/>
        <v>43404</v>
      </c>
      <c r="BA4" s="1">
        <f t="shared" si="0"/>
        <v>43434</v>
      </c>
      <c r="BB4" s="1">
        <f t="shared" si="0"/>
        <v>43465</v>
      </c>
      <c r="BC4" s="1">
        <f t="shared" si="0"/>
        <v>43496</v>
      </c>
      <c r="BD4" s="1">
        <f t="shared" si="0"/>
        <v>43524</v>
      </c>
      <c r="BE4" s="1">
        <f t="shared" si="0"/>
        <v>43555</v>
      </c>
      <c r="BF4" s="1">
        <f t="shared" si="0"/>
        <v>43585</v>
      </c>
      <c r="BG4" s="1">
        <f t="shared" si="0"/>
        <v>43616</v>
      </c>
      <c r="BH4" s="1">
        <f t="shared" si="0"/>
        <v>43646</v>
      </c>
      <c r="BI4" s="1">
        <f t="shared" si="0"/>
        <v>43677</v>
      </c>
      <c r="BJ4" s="1">
        <f t="shared" si="0"/>
        <v>43708</v>
      </c>
      <c r="BK4" s="1">
        <f t="shared" si="0"/>
        <v>43738</v>
      </c>
      <c r="BL4" s="1">
        <f t="shared" si="0"/>
        <v>43769</v>
      </c>
      <c r="BM4" s="1">
        <f t="shared" si="0"/>
        <v>43799</v>
      </c>
      <c r="BN4" s="1">
        <f t="shared" si="0"/>
        <v>43830</v>
      </c>
      <c r="BO4" s="1">
        <f>DATE(YEAR(BN4),MONTH(BN4)+2,0)</f>
        <v>43861</v>
      </c>
      <c r="BP4" s="1">
        <f t="shared" si="0"/>
        <v>43890</v>
      </c>
      <c r="BQ4" s="1">
        <f t="shared" si="0"/>
        <v>43921</v>
      </c>
      <c r="BR4" s="1">
        <f t="shared" si="0"/>
        <v>43951</v>
      </c>
      <c r="BS4" s="1">
        <f t="shared" si="0"/>
        <v>43982</v>
      </c>
      <c r="BT4" s="1">
        <f t="shared" ref="BT4:EE4" si="1">DATE(YEAR(BS4),MONTH(BS4)+2,0)</f>
        <v>44012</v>
      </c>
      <c r="BU4" s="1">
        <f t="shared" si="1"/>
        <v>44043</v>
      </c>
      <c r="BV4" s="1">
        <f t="shared" si="1"/>
        <v>44074</v>
      </c>
      <c r="BW4" s="1">
        <f t="shared" si="1"/>
        <v>44104</v>
      </c>
      <c r="BX4" s="1">
        <f t="shared" si="1"/>
        <v>44135</v>
      </c>
      <c r="BY4" s="1">
        <f t="shared" si="1"/>
        <v>44165</v>
      </c>
      <c r="BZ4" s="1">
        <f t="shared" si="1"/>
        <v>44196</v>
      </c>
      <c r="CA4" s="1">
        <f t="shared" si="1"/>
        <v>44227</v>
      </c>
      <c r="CB4" s="1">
        <f t="shared" si="1"/>
        <v>44255</v>
      </c>
      <c r="CC4" s="1">
        <f t="shared" si="1"/>
        <v>44286</v>
      </c>
      <c r="CD4" s="1">
        <f t="shared" si="1"/>
        <v>44316</v>
      </c>
      <c r="CE4" s="1">
        <f t="shared" si="1"/>
        <v>44347</v>
      </c>
      <c r="CF4" s="1">
        <f t="shared" si="1"/>
        <v>44377</v>
      </c>
      <c r="CG4" s="1">
        <f t="shared" si="1"/>
        <v>44408</v>
      </c>
      <c r="CH4" s="1">
        <f t="shared" si="1"/>
        <v>44439</v>
      </c>
      <c r="CI4" s="1">
        <f t="shared" si="1"/>
        <v>44469</v>
      </c>
      <c r="CJ4" s="1">
        <f t="shared" si="1"/>
        <v>44500</v>
      </c>
      <c r="CK4" s="1">
        <f t="shared" si="1"/>
        <v>44530</v>
      </c>
      <c r="CL4" s="1">
        <f t="shared" si="1"/>
        <v>44561</v>
      </c>
      <c r="CM4" s="1">
        <f t="shared" si="1"/>
        <v>44592</v>
      </c>
      <c r="CN4" s="1">
        <f t="shared" si="1"/>
        <v>44620</v>
      </c>
      <c r="CO4" s="1">
        <f t="shared" si="1"/>
        <v>44651</v>
      </c>
      <c r="CP4" s="1">
        <f t="shared" si="1"/>
        <v>44681</v>
      </c>
      <c r="CQ4" s="1">
        <f t="shared" si="1"/>
        <v>44712</v>
      </c>
      <c r="CR4" s="1">
        <f t="shared" si="1"/>
        <v>44742</v>
      </c>
      <c r="CS4" s="1">
        <f t="shared" si="1"/>
        <v>44773</v>
      </c>
      <c r="CT4" s="1">
        <f t="shared" si="1"/>
        <v>44804</v>
      </c>
      <c r="CU4" s="1">
        <f t="shared" si="1"/>
        <v>44834</v>
      </c>
      <c r="CV4" s="1">
        <f t="shared" si="1"/>
        <v>44865</v>
      </c>
      <c r="CW4" s="1">
        <f t="shared" si="1"/>
        <v>44895</v>
      </c>
      <c r="CX4" s="1">
        <f t="shared" si="1"/>
        <v>44926</v>
      </c>
      <c r="CY4" s="1">
        <f t="shared" si="1"/>
        <v>44957</v>
      </c>
      <c r="CZ4" s="1">
        <f t="shared" si="1"/>
        <v>44985</v>
      </c>
      <c r="DA4" s="1">
        <f t="shared" si="1"/>
        <v>45016</v>
      </c>
      <c r="DB4" s="1">
        <f t="shared" si="1"/>
        <v>45046</v>
      </c>
      <c r="DC4" s="1">
        <f t="shared" si="1"/>
        <v>45077</v>
      </c>
      <c r="DD4" s="1">
        <f t="shared" si="1"/>
        <v>45107</v>
      </c>
      <c r="DE4" s="1">
        <f t="shared" si="1"/>
        <v>45138</v>
      </c>
      <c r="DF4" s="1">
        <f t="shared" si="1"/>
        <v>45169</v>
      </c>
      <c r="DG4" s="1">
        <f t="shared" si="1"/>
        <v>45199</v>
      </c>
      <c r="DH4" s="1">
        <f t="shared" si="1"/>
        <v>45230</v>
      </c>
      <c r="DI4" s="1">
        <f t="shared" si="1"/>
        <v>45260</v>
      </c>
      <c r="DJ4" s="1">
        <f t="shared" si="1"/>
        <v>45291</v>
      </c>
      <c r="DK4" s="1">
        <f t="shared" si="1"/>
        <v>45322</v>
      </c>
      <c r="DL4" s="1">
        <f t="shared" si="1"/>
        <v>45351</v>
      </c>
      <c r="DM4" s="1">
        <f t="shared" si="1"/>
        <v>45382</v>
      </c>
      <c r="DN4" s="1">
        <f t="shared" si="1"/>
        <v>45412</v>
      </c>
      <c r="DO4" s="1">
        <f t="shared" si="1"/>
        <v>45443</v>
      </c>
      <c r="DP4" s="1">
        <f t="shared" si="1"/>
        <v>45473</v>
      </c>
      <c r="DQ4" s="1">
        <f t="shared" si="1"/>
        <v>45504</v>
      </c>
      <c r="DR4" s="1">
        <f t="shared" si="1"/>
        <v>45535</v>
      </c>
      <c r="DS4" s="1">
        <f t="shared" si="1"/>
        <v>45565</v>
      </c>
      <c r="DT4" s="1">
        <f t="shared" si="1"/>
        <v>45596</v>
      </c>
      <c r="DU4" s="1">
        <f t="shared" si="1"/>
        <v>45626</v>
      </c>
      <c r="DV4" s="1">
        <f t="shared" si="1"/>
        <v>45657</v>
      </c>
      <c r="DW4" s="1">
        <f t="shared" si="1"/>
        <v>45688</v>
      </c>
      <c r="DX4" s="1">
        <f t="shared" si="1"/>
        <v>45716</v>
      </c>
      <c r="DY4" s="1">
        <f t="shared" si="1"/>
        <v>45747</v>
      </c>
      <c r="DZ4" s="1">
        <f t="shared" si="1"/>
        <v>45777</v>
      </c>
      <c r="EA4" s="1">
        <f t="shared" si="1"/>
        <v>45808</v>
      </c>
      <c r="EB4" s="1">
        <f t="shared" si="1"/>
        <v>45838</v>
      </c>
      <c r="EC4" s="1">
        <f t="shared" si="1"/>
        <v>45869</v>
      </c>
      <c r="ED4" s="1">
        <f t="shared" si="1"/>
        <v>45900</v>
      </c>
      <c r="EE4" s="1">
        <f t="shared" si="1"/>
        <v>45930</v>
      </c>
      <c r="EF4" s="1">
        <f t="shared" ref="EF4:EH4" si="2">DATE(YEAR(EE4),MONTH(EE4)+2,0)</f>
        <v>45961</v>
      </c>
      <c r="EG4" s="1">
        <f t="shared" si="2"/>
        <v>45991</v>
      </c>
      <c r="EH4" s="1">
        <f t="shared" si="2"/>
        <v>46022</v>
      </c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/>
      <c r="FK4"/>
      <c r="FL4"/>
      <c r="FM4"/>
    </row>
    <row r="5" spans="2:169" s="5" customFormat="1" x14ac:dyDescent="0.25">
      <c r="C5" s="6"/>
      <c r="D5" s="6" t="s">
        <v>0</v>
      </c>
      <c r="E5" s="7"/>
      <c r="F5" s="8"/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159690.41666666666</v>
      </c>
      <c r="DL5" s="9">
        <v>159690.41666666666</v>
      </c>
      <c r="DM5" s="9">
        <v>159690.41666666666</v>
      </c>
      <c r="DN5" s="9">
        <v>162482</v>
      </c>
      <c r="DO5" s="9">
        <v>162482</v>
      </c>
      <c r="DP5" s="9">
        <v>162482</v>
      </c>
      <c r="DQ5" s="9">
        <v>179929.66666666666</v>
      </c>
      <c r="DR5" s="9">
        <v>179929.66666666666</v>
      </c>
      <c r="DS5" s="9">
        <v>179929.66666666666</v>
      </c>
      <c r="DT5" s="9">
        <v>187757.66666666666</v>
      </c>
      <c r="DU5" s="9">
        <v>187757.66666666666</v>
      </c>
      <c r="DV5" s="9">
        <v>187757.66666666666</v>
      </c>
      <c r="DW5" s="9">
        <v>165539.5</v>
      </c>
      <c r="DX5" s="9">
        <v>165539.5</v>
      </c>
      <c r="DY5" s="9">
        <v>165539.5</v>
      </c>
      <c r="DZ5" s="9">
        <v>165539.5</v>
      </c>
      <c r="EA5" s="9">
        <v>165539.5</v>
      </c>
      <c r="EB5" s="9">
        <v>165539.5</v>
      </c>
      <c r="EC5" s="9">
        <v>165539.5</v>
      </c>
      <c r="ED5" s="9">
        <v>165539.5</v>
      </c>
      <c r="EE5" s="9">
        <v>165539.5</v>
      </c>
      <c r="EF5" s="9">
        <v>165539.5</v>
      </c>
      <c r="EG5" s="5">
        <v>165539.5</v>
      </c>
      <c r="EH5" s="5">
        <v>165539.5</v>
      </c>
    </row>
    <row r="6" spans="2:169" s="5" customFormat="1" x14ac:dyDescent="0.25">
      <c r="C6" s="6"/>
      <c r="D6" s="6" t="s">
        <v>0</v>
      </c>
      <c r="E6" s="7"/>
      <c r="F6" s="8"/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13996.75</v>
      </c>
      <c r="DL6" s="9">
        <v>13996.75</v>
      </c>
      <c r="DM6" s="9">
        <v>13996.75</v>
      </c>
      <c r="DN6" s="9">
        <v>13996.75</v>
      </c>
      <c r="DO6" s="9">
        <v>13996.75</v>
      </c>
      <c r="DP6" s="9">
        <v>13996.75</v>
      </c>
      <c r="DQ6" s="9">
        <v>13996.75</v>
      </c>
      <c r="DR6" s="9">
        <v>13996.75</v>
      </c>
      <c r="DS6" s="9">
        <v>13996.75</v>
      </c>
      <c r="DT6" s="9">
        <v>13996.75</v>
      </c>
      <c r="DU6" s="9">
        <v>13996.75</v>
      </c>
      <c r="DV6" s="9">
        <v>13996.75</v>
      </c>
      <c r="DW6" s="9">
        <v>41916.666666666664</v>
      </c>
      <c r="DX6" s="9">
        <v>41916.666666666664</v>
      </c>
      <c r="DY6" s="9">
        <v>41916.666666666664</v>
      </c>
      <c r="DZ6" s="9">
        <v>41916.666666666664</v>
      </c>
      <c r="EA6" s="9">
        <v>41916.666666666664</v>
      </c>
      <c r="EB6" s="9">
        <v>41916.666666666664</v>
      </c>
      <c r="EC6" s="9">
        <v>41916.666666666664</v>
      </c>
      <c r="ED6" s="9">
        <v>41916.666666666664</v>
      </c>
      <c r="EE6" s="9">
        <v>41916.666666666664</v>
      </c>
      <c r="EF6" s="9">
        <v>41916.666666666664</v>
      </c>
      <c r="EG6" s="5">
        <v>41916.666666666664</v>
      </c>
      <c r="EH6" s="5">
        <v>41916.666666666664</v>
      </c>
    </row>
    <row r="7" spans="2:169" s="5" customFormat="1" x14ac:dyDescent="0.25">
      <c r="C7" s="6"/>
      <c r="D7" s="6" t="s">
        <v>0</v>
      </c>
      <c r="E7" s="7"/>
      <c r="F7" s="8"/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41500</v>
      </c>
      <c r="DU7" s="9">
        <v>41500</v>
      </c>
      <c r="DV7" s="9">
        <v>41500</v>
      </c>
      <c r="DW7" s="9">
        <v>41500</v>
      </c>
      <c r="DX7" s="9">
        <v>41500</v>
      </c>
      <c r="DY7" s="9">
        <v>41500</v>
      </c>
      <c r="DZ7" s="9">
        <v>41500</v>
      </c>
      <c r="EA7" s="9">
        <v>41500</v>
      </c>
      <c r="EB7" s="9">
        <v>41500</v>
      </c>
      <c r="EC7" s="9">
        <v>41500</v>
      </c>
      <c r="ED7" s="9">
        <v>41500</v>
      </c>
      <c r="EE7" s="9">
        <v>41500</v>
      </c>
      <c r="EF7" s="9">
        <v>41500</v>
      </c>
      <c r="EG7" s="5">
        <v>41500</v>
      </c>
      <c r="EH7" s="5">
        <v>41500</v>
      </c>
    </row>
    <row r="8" spans="2:169" s="5" customFormat="1" x14ac:dyDescent="0.25">
      <c r="C8" s="6"/>
      <c r="D8" s="6" t="s">
        <v>0</v>
      </c>
      <c r="E8" s="7"/>
      <c r="F8" s="8"/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29.166666666666668</v>
      </c>
      <c r="DL8" s="9">
        <v>29.166666666666668</v>
      </c>
      <c r="DM8" s="9">
        <v>4142.25</v>
      </c>
      <c r="DN8" s="9">
        <v>4142.25</v>
      </c>
      <c r="DO8" s="9">
        <v>4142.25</v>
      </c>
      <c r="DP8" s="9">
        <v>4142.25</v>
      </c>
      <c r="DQ8" s="9">
        <v>4142.25</v>
      </c>
      <c r="DR8" s="9">
        <v>4142.25</v>
      </c>
      <c r="DS8" s="9">
        <v>4142.25</v>
      </c>
      <c r="DT8" s="9">
        <v>4142.25</v>
      </c>
      <c r="DU8" s="9">
        <v>4142.25</v>
      </c>
      <c r="DV8" s="9">
        <v>4142.25</v>
      </c>
      <c r="DW8" s="9">
        <v>4142.25</v>
      </c>
      <c r="DX8" s="9">
        <v>4142.25</v>
      </c>
      <c r="DY8" s="9">
        <v>4142.25</v>
      </c>
      <c r="DZ8" s="9">
        <v>4142.25</v>
      </c>
      <c r="EA8" s="9">
        <v>4142.25</v>
      </c>
      <c r="EB8" s="9">
        <v>7892.25</v>
      </c>
      <c r="EC8" s="9">
        <v>7892.25</v>
      </c>
      <c r="ED8" s="9">
        <v>7892.25</v>
      </c>
      <c r="EE8" s="9">
        <v>33333.333333333336</v>
      </c>
      <c r="EF8" s="9">
        <v>33333.333333333336</v>
      </c>
      <c r="EG8" s="5">
        <v>33333.333333333336</v>
      </c>
      <c r="EH8" s="5">
        <v>33333.333333333336</v>
      </c>
    </row>
    <row r="9" spans="2:169" s="5" customFormat="1" x14ac:dyDescent="0.25">
      <c r="C9" s="6"/>
      <c r="D9" s="6" t="s">
        <v>0</v>
      </c>
      <c r="E9" s="7"/>
      <c r="F9" s="8"/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21375</v>
      </c>
      <c r="DY9" s="9">
        <v>21375</v>
      </c>
      <c r="DZ9" s="9">
        <v>21375</v>
      </c>
      <c r="EA9" s="9">
        <v>21375</v>
      </c>
      <c r="EB9" s="9">
        <v>21375</v>
      </c>
      <c r="EC9" s="9">
        <v>21375</v>
      </c>
      <c r="ED9" s="9">
        <v>21375</v>
      </c>
      <c r="EE9" s="9">
        <v>21375</v>
      </c>
      <c r="EF9" s="9">
        <v>21375</v>
      </c>
      <c r="EG9" s="5">
        <v>21375</v>
      </c>
      <c r="EH9" s="5">
        <v>21375</v>
      </c>
    </row>
    <row r="10" spans="2:169" s="5" customFormat="1" x14ac:dyDescent="0.25">
      <c r="C10" s="6"/>
      <c r="D10" s="6" t="s">
        <v>0</v>
      </c>
      <c r="E10" s="7"/>
      <c r="F10" s="8"/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15200</v>
      </c>
      <c r="DL10" s="9">
        <v>15200</v>
      </c>
      <c r="DM10" s="9">
        <v>15200</v>
      </c>
      <c r="DN10" s="9">
        <v>15200</v>
      </c>
      <c r="DO10" s="9">
        <v>15200</v>
      </c>
      <c r="DP10" s="9">
        <v>15200</v>
      </c>
      <c r="DQ10" s="9">
        <v>15200</v>
      </c>
      <c r="DR10" s="9">
        <v>15200</v>
      </c>
      <c r="DS10" s="9">
        <v>15200</v>
      </c>
      <c r="DT10" s="9">
        <v>15200</v>
      </c>
      <c r="DU10" s="9">
        <v>15200</v>
      </c>
      <c r="DV10" s="9">
        <v>15200</v>
      </c>
      <c r="DW10" s="9">
        <v>15200</v>
      </c>
      <c r="DX10" s="9">
        <v>15200</v>
      </c>
      <c r="DY10" s="9">
        <v>15200</v>
      </c>
      <c r="DZ10" s="9">
        <v>15200</v>
      </c>
      <c r="EA10" s="9">
        <v>15200</v>
      </c>
      <c r="EB10" s="9">
        <v>15200</v>
      </c>
      <c r="EC10" s="9">
        <v>15200</v>
      </c>
      <c r="ED10" s="9">
        <v>15200</v>
      </c>
      <c r="EE10" s="9">
        <v>15200</v>
      </c>
      <c r="EF10" s="9">
        <v>15200</v>
      </c>
      <c r="EG10" s="5">
        <v>15200</v>
      </c>
      <c r="EH10" s="5">
        <v>15738</v>
      </c>
    </row>
    <row r="11" spans="2:169" s="5" customFormat="1" x14ac:dyDescent="0.25">
      <c r="C11" s="6"/>
      <c r="D11" s="6" t="s">
        <v>0</v>
      </c>
      <c r="E11" s="7"/>
      <c r="F11" s="8"/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14375</v>
      </c>
      <c r="DL11" s="9">
        <v>14375</v>
      </c>
      <c r="DM11" s="9">
        <v>14375</v>
      </c>
      <c r="DN11" s="9">
        <v>14375</v>
      </c>
      <c r="DO11" s="9">
        <v>14375</v>
      </c>
      <c r="DP11" s="9">
        <v>14375</v>
      </c>
      <c r="DQ11" s="9">
        <v>14375</v>
      </c>
      <c r="DR11" s="9">
        <v>14375</v>
      </c>
      <c r="DS11" s="9">
        <v>14375</v>
      </c>
      <c r="DT11" s="9">
        <v>14375</v>
      </c>
      <c r="DU11" s="9">
        <v>14375</v>
      </c>
      <c r="DV11" s="9">
        <v>14375</v>
      </c>
      <c r="DW11" s="9">
        <v>14375</v>
      </c>
      <c r="DX11" s="9">
        <v>14375</v>
      </c>
      <c r="DY11" s="9">
        <v>14375</v>
      </c>
      <c r="DZ11" s="9">
        <v>14375</v>
      </c>
      <c r="EA11" s="9">
        <v>14375</v>
      </c>
      <c r="EB11" s="9">
        <v>14375</v>
      </c>
      <c r="EC11" s="9">
        <v>14375</v>
      </c>
      <c r="ED11" s="9">
        <v>14375</v>
      </c>
      <c r="EE11" s="9">
        <v>14375</v>
      </c>
      <c r="EF11" s="9">
        <v>14375</v>
      </c>
      <c r="EG11" s="5">
        <v>14375</v>
      </c>
      <c r="EH11" s="5">
        <v>14375</v>
      </c>
    </row>
    <row r="12" spans="2:169" s="5" customFormat="1" x14ac:dyDescent="0.25">
      <c r="C12" s="6"/>
      <c r="D12" s="6" t="s">
        <v>0</v>
      </c>
      <c r="E12" s="7"/>
      <c r="F12" s="8"/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9487.5</v>
      </c>
      <c r="DM12" s="9">
        <v>9487.5</v>
      </c>
      <c r="DN12" s="9">
        <v>9487.5</v>
      </c>
      <c r="DO12" s="9">
        <v>9487.5</v>
      </c>
      <c r="DP12" s="9">
        <v>9487.5</v>
      </c>
      <c r="DQ12" s="9">
        <v>9487.5</v>
      </c>
      <c r="DR12" s="9">
        <v>9487.5</v>
      </c>
      <c r="DS12" s="9">
        <v>9487.5</v>
      </c>
      <c r="DT12" s="9">
        <v>4620</v>
      </c>
      <c r="DU12" s="9">
        <v>4620</v>
      </c>
      <c r="DV12" s="9">
        <v>4620</v>
      </c>
      <c r="DW12" s="9">
        <v>4620</v>
      </c>
      <c r="DX12" s="9">
        <v>4620</v>
      </c>
      <c r="DY12" s="9">
        <v>4620</v>
      </c>
      <c r="DZ12" s="9">
        <v>4620</v>
      </c>
      <c r="EA12" s="9">
        <v>4620</v>
      </c>
      <c r="EB12" s="9">
        <v>9487.5</v>
      </c>
      <c r="EC12" s="9">
        <v>9487.5</v>
      </c>
      <c r="ED12" s="9">
        <v>9487.5</v>
      </c>
      <c r="EE12" s="9">
        <v>11880</v>
      </c>
      <c r="EF12" s="9">
        <v>11880</v>
      </c>
      <c r="EG12" s="5">
        <v>11880</v>
      </c>
      <c r="EH12" s="5">
        <v>11880</v>
      </c>
    </row>
    <row r="13" spans="2:169" s="5" customFormat="1" x14ac:dyDescent="0.25">
      <c r="C13" s="6"/>
      <c r="D13" s="6" t="s">
        <v>0</v>
      </c>
      <c r="E13" s="7"/>
      <c r="F13" s="8"/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10661.5</v>
      </c>
      <c r="EF13" s="9">
        <v>0</v>
      </c>
      <c r="EG13" s="5">
        <v>0</v>
      </c>
      <c r="EH13" s="5">
        <v>10661.5</v>
      </c>
    </row>
    <row r="14" spans="2:169" s="5" customFormat="1" x14ac:dyDescent="0.25">
      <c r="C14" s="6"/>
      <c r="D14" s="6" t="s">
        <v>0</v>
      </c>
      <c r="E14" s="7"/>
      <c r="F14" s="8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10390</v>
      </c>
      <c r="DL14" s="9">
        <v>10390</v>
      </c>
      <c r="DM14" s="9">
        <v>10390</v>
      </c>
      <c r="DN14" s="9">
        <v>10390</v>
      </c>
      <c r="DO14" s="9">
        <v>10390</v>
      </c>
      <c r="DP14" s="9">
        <v>10390</v>
      </c>
      <c r="DQ14" s="9">
        <v>10390</v>
      </c>
      <c r="DR14" s="9">
        <v>10390</v>
      </c>
      <c r="DS14" s="9">
        <v>10390</v>
      </c>
      <c r="DT14" s="9">
        <v>10390</v>
      </c>
      <c r="DU14" s="9">
        <v>10390</v>
      </c>
      <c r="DV14" s="9">
        <v>10390</v>
      </c>
      <c r="DW14" s="9">
        <v>10390</v>
      </c>
      <c r="DX14" s="9">
        <v>10390</v>
      </c>
      <c r="DY14" s="9">
        <v>10390</v>
      </c>
      <c r="DZ14" s="9">
        <v>10390</v>
      </c>
      <c r="EA14" s="9">
        <v>10390</v>
      </c>
      <c r="EB14" s="9">
        <v>10390</v>
      </c>
      <c r="EC14" s="9">
        <v>10390</v>
      </c>
      <c r="ED14" s="9">
        <v>10390</v>
      </c>
      <c r="EE14" s="9">
        <v>10390</v>
      </c>
      <c r="EF14" s="9">
        <v>10390</v>
      </c>
      <c r="EG14" s="5">
        <v>10390</v>
      </c>
      <c r="EH14" s="5">
        <v>10390</v>
      </c>
    </row>
    <row r="15" spans="2:169" s="5" customFormat="1" x14ac:dyDescent="0.25">
      <c r="C15" s="6"/>
      <c r="D15" s="6" t="s">
        <v>0</v>
      </c>
      <c r="E15" s="7"/>
      <c r="F15" s="8"/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29.166666666666668</v>
      </c>
      <c r="DL15" s="9">
        <v>29.166666666666668</v>
      </c>
      <c r="DM15" s="9">
        <v>29.166666666666668</v>
      </c>
      <c r="DN15" s="9">
        <v>29.166666666666668</v>
      </c>
      <c r="DO15" s="9">
        <v>29.166666666666668</v>
      </c>
      <c r="DP15" s="9">
        <v>29.166666666666668</v>
      </c>
      <c r="DQ15" s="9">
        <v>29.166666666666668</v>
      </c>
      <c r="DR15" s="9">
        <v>29.166666666666668</v>
      </c>
      <c r="DS15" s="9">
        <v>29.166666666666668</v>
      </c>
      <c r="DT15" s="9">
        <v>29.166666666666668</v>
      </c>
      <c r="DU15" s="9">
        <v>29.166666666666668</v>
      </c>
      <c r="DV15" s="9">
        <v>10197.333333333334</v>
      </c>
      <c r="DW15" s="9">
        <v>10197.333333333334</v>
      </c>
      <c r="DX15" s="9">
        <v>10197.333333333334</v>
      </c>
      <c r="DY15" s="9">
        <v>10197.333333333334</v>
      </c>
      <c r="DZ15" s="9">
        <v>10197.333333333334</v>
      </c>
      <c r="EA15" s="9">
        <v>10197.333333333334</v>
      </c>
      <c r="EB15" s="9">
        <v>10197.333333333334</v>
      </c>
      <c r="EC15" s="9">
        <v>10197.333333333334</v>
      </c>
      <c r="ED15" s="9">
        <v>10197.333333333334</v>
      </c>
      <c r="EE15" s="9">
        <v>10197.333333333334</v>
      </c>
      <c r="EF15" s="9">
        <v>10197.333333333334</v>
      </c>
      <c r="EG15" s="5">
        <v>10197.333333333334</v>
      </c>
      <c r="EH15" s="5">
        <v>10197.333333333334</v>
      </c>
    </row>
    <row r="16" spans="2:169" s="5" customFormat="1" x14ac:dyDescent="0.25">
      <c r="C16" s="6"/>
      <c r="D16" s="6" t="s">
        <v>0</v>
      </c>
      <c r="E16" s="7"/>
      <c r="F16" s="8"/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5">
        <v>10000</v>
      </c>
      <c r="EH16" s="5">
        <v>10000</v>
      </c>
    </row>
    <row r="17" spans="3:138" s="5" customFormat="1" x14ac:dyDescent="0.25">
      <c r="C17" s="6"/>
      <c r="D17" s="6" t="s">
        <v>0</v>
      </c>
      <c r="E17" s="7"/>
      <c r="F17" s="8"/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5">
        <v>9878.5</v>
      </c>
      <c r="EH17" s="5">
        <v>9878.5</v>
      </c>
    </row>
    <row r="18" spans="3:138" s="5" customFormat="1" x14ac:dyDescent="0.25">
      <c r="C18" s="6"/>
      <c r="D18" s="6" t="s">
        <v>0</v>
      </c>
      <c r="E18" s="7"/>
      <c r="F18" s="8"/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5">
        <v>8982.5</v>
      </c>
      <c r="EH18" s="5">
        <v>8982.5</v>
      </c>
    </row>
    <row r="19" spans="3:138" s="5" customFormat="1" x14ac:dyDescent="0.25">
      <c r="C19" s="6"/>
      <c r="D19" s="6" t="s">
        <v>0</v>
      </c>
      <c r="E19" s="7"/>
      <c r="F19" s="8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5">
        <v>0</v>
      </c>
      <c r="EH19" s="5">
        <v>8333.3333333333339</v>
      </c>
    </row>
    <row r="20" spans="3:138" s="5" customFormat="1" x14ac:dyDescent="0.25">
      <c r="C20" s="6"/>
      <c r="D20" s="6" t="s">
        <v>0</v>
      </c>
      <c r="E20" s="7"/>
      <c r="F20" s="8"/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3711.4166666666665</v>
      </c>
      <c r="DL20" s="9">
        <v>3908.4166666666665</v>
      </c>
      <c r="DM20" s="9">
        <v>3996.8333333333335</v>
      </c>
      <c r="DN20" s="9">
        <v>4396.5</v>
      </c>
      <c r="DO20" s="9">
        <v>4815.583333333333</v>
      </c>
      <c r="DP20" s="9">
        <v>5279.5</v>
      </c>
      <c r="DQ20" s="9">
        <v>6155.583333333333</v>
      </c>
      <c r="DR20" s="9">
        <v>6849.916666666667</v>
      </c>
      <c r="DS20" s="9">
        <v>7187</v>
      </c>
      <c r="DT20" s="9">
        <v>7472.75</v>
      </c>
      <c r="DU20" s="9">
        <v>8032.083333333333</v>
      </c>
      <c r="DV20" s="9">
        <v>8242.1666666666661</v>
      </c>
      <c r="DW20" s="9">
        <v>8574.9166666666661</v>
      </c>
      <c r="DX20" s="9">
        <v>8832.5</v>
      </c>
      <c r="DY20" s="9">
        <v>8986</v>
      </c>
      <c r="DZ20" s="9">
        <v>9087.1666666666661</v>
      </c>
      <c r="EA20" s="9">
        <v>9150.8333333333339</v>
      </c>
      <c r="EB20" s="9">
        <v>9148.9166666666661</v>
      </c>
      <c r="EC20" s="9">
        <v>8763.4166666666661</v>
      </c>
      <c r="ED20" s="9">
        <v>8474.0833333333339</v>
      </c>
      <c r="EE20" s="9">
        <v>8464.9166666666661</v>
      </c>
      <c r="EF20" s="9">
        <v>8521.25</v>
      </c>
      <c r="EG20" s="5">
        <v>8321</v>
      </c>
      <c r="EH20" s="5">
        <v>8464.9166666666661</v>
      </c>
    </row>
    <row r="21" spans="3:138" s="5" customFormat="1" x14ac:dyDescent="0.25">
      <c r="C21" s="6"/>
      <c r="D21" s="6" t="s">
        <v>0</v>
      </c>
      <c r="E21" s="7"/>
      <c r="F21" s="8"/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8060</v>
      </c>
      <c r="EC21" s="9">
        <v>8060</v>
      </c>
      <c r="ED21" s="9">
        <v>8060</v>
      </c>
      <c r="EE21" s="9">
        <v>8060</v>
      </c>
      <c r="EF21" s="9">
        <v>8060</v>
      </c>
      <c r="EG21" s="5">
        <v>8060</v>
      </c>
      <c r="EH21" s="5">
        <v>8060</v>
      </c>
    </row>
    <row r="22" spans="3:138" s="5" customFormat="1" x14ac:dyDescent="0.25">
      <c r="C22" s="6"/>
      <c r="D22" s="6" t="s">
        <v>0</v>
      </c>
      <c r="E22" s="7"/>
      <c r="F22" s="8"/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29.166666666666668</v>
      </c>
      <c r="DL22" s="9">
        <v>29.166666666666668</v>
      </c>
      <c r="DM22" s="9">
        <v>29.166666666666668</v>
      </c>
      <c r="DN22" s="9">
        <v>29.166666666666668</v>
      </c>
      <c r="DO22" s="9">
        <v>29.166666666666668</v>
      </c>
      <c r="DP22" s="9">
        <v>29.166666666666668</v>
      </c>
      <c r="DQ22" s="9">
        <v>29.166666666666668</v>
      </c>
      <c r="DR22" s="9">
        <v>29.166666666666668</v>
      </c>
      <c r="DS22" s="9">
        <v>29.166666666666668</v>
      </c>
      <c r="DT22" s="9">
        <v>7620.583333333333</v>
      </c>
      <c r="DU22" s="9">
        <v>7620.583333333333</v>
      </c>
      <c r="DV22" s="9">
        <v>7620.583333333333</v>
      </c>
      <c r="DW22" s="9">
        <v>7620.583333333333</v>
      </c>
      <c r="DX22" s="9">
        <v>7620.583333333333</v>
      </c>
      <c r="DY22" s="9">
        <v>7620.583333333333</v>
      </c>
      <c r="DZ22" s="9">
        <v>7620.583333333333</v>
      </c>
      <c r="EA22" s="9">
        <v>7620.583333333333</v>
      </c>
      <c r="EB22" s="9">
        <v>7620.583333333333</v>
      </c>
      <c r="EC22" s="9">
        <v>7620.583333333333</v>
      </c>
      <c r="ED22" s="9">
        <v>7620.583333333333</v>
      </c>
      <c r="EE22" s="9">
        <v>7620.583333333333</v>
      </c>
      <c r="EF22" s="9">
        <v>7620.583333333333</v>
      </c>
      <c r="EG22" s="5">
        <v>7620.583333333333</v>
      </c>
      <c r="EH22" s="5">
        <v>7620.583333333333</v>
      </c>
    </row>
    <row r="23" spans="3:138" s="5" customFormat="1" x14ac:dyDescent="0.25">
      <c r="C23" s="6"/>
      <c r="D23" s="6" t="s">
        <v>0</v>
      </c>
      <c r="E23" s="7"/>
      <c r="F23" s="8"/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6175</v>
      </c>
      <c r="DZ23" s="9">
        <v>6175</v>
      </c>
      <c r="EA23" s="9">
        <v>6175</v>
      </c>
      <c r="EB23" s="9">
        <v>6175</v>
      </c>
      <c r="EC23" s="9">
        <v>6175</v>
      </c>
      <c r="ED23" s="9">
        <v>6175</v>
      </c>
      <c r="EE23" s="9">
        <v>6175</v>
      </c>
      <c r="EF23" s="9">
        <v>6175</v>
      </c>
      <c r="EG23" s="5">
        <v>6175</v>
      </c>
      <c r="EH23" s="5">
        <v>6175</v>
      </c>
    </row>
    <row r="24" spans="3:138" s="5" customFormat="1" x14ac:dyDescent="0.25">
      <c r="C24" s="6"/>
      <c r="D24" s="6" t="s">
        <v>0</v>
      </c>
      <c r="E24" s="7"/>
      <c r="F24" s="8"/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3630</v>
      </c>
      <c r="DP24" s="9">
        <v>3630</v>
      </c>
      <c r="DQ24" s="9">
        <v>3630</v>
      </c>
      <c r="DR24" s="9">
        <v>3630</v>
      </c>
      <c r="DS24" s="9">
        <v>3630</v>
      </c>
      <c r="DT24" s="9">
        <v>3630</v>
      </c>
      <c r="DU24" s="9">
        <v>3630</v>
      </c>
      <c r="DV24" s="9">
        <v>3630</v>
      </c>
      <c r="DW24" s="9">
        <v>3630</v>
      </c>
      <c r="DX24" s="9">
        <v>3630</v>
      </c>
      <c r="DY24" s="9">
        <v>3630</v>
      </c>
      <c r="DZ24" s="9">
        <v>6000</v>
      </c>
      <c r="EA24" s="9">
        <v>6000</v>
      </c>
      <c r="EB24" s="9">
        <v>6000</v>
      </c>
      <c r="EC24" s="9">
        <v>6000</v>
      </c>
      <c r="ED24" s="9">
        <v>6000</v>
      </c>
      <c r="EE24" s="9">
        <v>6000</v>
      </c>
      <c r="EF24" s="9">
        <v>6000</v>
      </c>
      <c r="EG24" s="5">
        <v>6000</v>
      </c>
      <c r="EH24" s="5">
        <v>6000</v>
      </c>
    </row>
    <row r="25" spans="3:138" s="5" customFormat="1" x14ac:dyDescent="0.25">
      <c r="C25" s="6"/>
      <c r="D25" s="6" t="s">
        <v>0</v>
      </c>
      <c r="E25" s="7"/>
      <c r="F25" s="8"/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5000</v>
      </c>
      <c r="DL25" s="9">
        <v>5000</v>
      </c>
      <c r="DM25" s="9">
        <v>5000</v>
      </c>
      <c r="DN25" s="9">
        <v>5000</v>
      </c>
      <c r="DO25" s="9">
        <v>5000</v>
      </c>
      <c r="DP25" s="9">
        <v>5000</v>
      </c>
      <c r="DQ25" s="9">
        <v>5000</v>
      </c>
      <c r="DR25" s="9">
        <v>5000</v>
      </c>
      <c r="DS25" s="9">
        <v>5000</v>
      </c>
      <c r="DT25" s="9">
        <v>5000</v>
      </c>
      <c r="DU25" s="9">
        <v>5000</v>
      </c>
      <c r="DV25" s="9">
        <v>5000</v>
      </c>
      <c r="DW25" s="9">
        <v>5000</v>
      </c>
      <c r="DX25" s="9">
        <v>5000</v>
      </c>
      <c r="DY25" s="9">
        <v>5000</v>
      </c>
      <c r="DZ25" s="9">
        <v>5000</v>
      </c>
      <c r="EA25" s="9">
        <v>5000</v>
      </c>
      <c r="EB25" s="9">
        <v>5000</v>
      </c>
      <c r="EC25" s="9">
        <v>5000</v>
      </c>
      <c r="ED25" s="9">
        <v>5000</v>
      </c>
      <c r="EE25" s="9">
        <v>5000</v>
      </c>
      <c r="EF25" s="9">
        <v>5000</v>
      </c>
      <c r="EG25" s="5">
        <v>5000</v>
      </c>
      <c r="EH25" s="5">
        <v>5000</v>
      </c>
    </row>
    <row r="26" spans="3:138" s="5" customFormat="1" x14ac:dyDescent="0.25">
      <c r="C26" s="6"/>
      <c r="D26" s="6" t="s">
        <v>0</v>
      </c>
      <c r="E26" s="7"/>
      <c r="F26" s="8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5000</v>
      </c>
      <c r="DL26" s="9">
        <v>5000</v>
      </c>
      <c r="DM26" s="9">
        <v>5000</v>
      </c>
      <c r="DN26" s="9">
        <v>5000</v>
      </c>
      <c r="DO26" s="9">
        <v>5000</v>
      </c>
      <c r="DP26" s="9">
        <v>5000</v>
      </c>
      <c r="DQ26" s="9">
        <v>5000</v>
      </c>
      <c r="DR26" s="9">
        <v>5000</v>
      </c>
      <c r="DS26" s="9">
        <v>5000</v>
      </c>
      <c r="DT26" s="9">
        <v>5000</v>
      </c>
      <c r="DU26" s="9">
        <v>5000</v>
      </c>
      <c r="DV26" s="9">
        <v>5000</v>
      </c>
      <c r="DW26" s="9">
        <v>5000</v>
      </c>
      <c r="DX26" s="9">
        <v>5000</v>
      </c>
      <c r="DY26" s="9">
        <v>5000</v>
      </c>
      <c r="DZ26" s="9">
        <v>5000</v>
      </c>
      <c r="EA26" s="9">
        <v>5000</v>
      </c>
      <c r="EB26" s="9">
        <v>5000</v>
      </c>
      <c r="EC26" s="9">
        <v>5000</v>
      </c>
      <c r="ED26" s="9">
        <v>5000</v>
      </c>
      <c r="EE26" s="9">
        <v>5000</v>
      </c>
      <c r="EF26" s="9">
        <v>5000</v>
      </c>
      <c r="EG26" s="5">
        <v>5000</v>
      </c>
      <c r="EH26" s="5">
        <v>5000</v>
      </c>
    </row>
    <row r="27" spans="3:138" s="5" customFormat="1" x14ac:dyDescent="0.25">
      <c r="C27" s="6"/>
      <c r="D27" s="6" t="s">
        <v>0</v>
      </c>
      <c r="E27" s="7"/>
      <c r="F27" s="8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29.166666666666668</v>
      </c>
      <c r="DL27" s="9">
        <v>29.166666666666668</v>
      </c>
      <c r="DM27" s="9">
        <v>29.166666666666668</v>
      </c>
      <c r="DN27" s="9">
        <v>29.166666666666668</v>
      </c>
      <c r="DO27" s="9">
        <v>29.166666666666668</v>
      </c>
      <c r="DP27" s="9">
        <v>29.166666666666668</v>
      </c>
      <c r="DQ27" s="9">
        <v>29.166666666666668</v>
      </c>
      <c r="DR27" s="9">
        <v>29.166666666666668</v>
      </c>
      <c r="DS27" s="9">
        <v>29.166666666666668</v>
      </c>
      <c r="DT27" s="9">
        <v>4660.083333333333</v>
      </c>
      <c r="DU27" s="9">
        <v>4660.083333333333</v>
      </c>
      <c r="DV27" s="9">
        <v>4660.083333333333</v>
      </c>
      <c r="DW27" s="9">
        <v>4660.083333333333</v>
      </c>
      <c r="DX27" s="9">
        <v>4660.083333333333</v>
      </c>
      <c r="DY27" s="9">
        <v>4660.083333333333</v>
      </c>
      <c r="DZ27" s="9">
        <v>4660.083333333333</v>
      </c>
      <c r="EA27" s="9">
        <v>4660.083333333333</v>
      </c>
      <c r="EB27" s="9">
        <v>4660.083333333333</v>
      </c>
      <c r="EC27" s="9">
        <v>4660.083333333333</v>
      </c>
      <c r="ED27" s="9">
        <v>4660.083333333333</v>
      </c>
      <c r="EE27" s="9">
        <v>4660.083333333333</v>
      </c>
      <c r="EF27" s="9">
        <v>4660.083333333333</v>
      </c>
      <c r="EG27" s="5">
        <v>4660.083333333333</v>
      </c>
      <c r="EH27" s="5">
        <v>4660.083333333333</v>
      </c>
    </row>
    <row r="28" spans="3:138" s="5" customFormat="1" x14ac:dyDescent="0.25">
      <c r="C28" s="6"/>
      <c r="D28" s="6" t="s">
        <v>0</v>
      </c>
      <c r="E28" s="7"/>
      <c r="F28" s="8"/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4216.666666666667</v>
      </c>
      <c r="EC28" s="9">
        <v>4216.666666666667</v>
      </c>
      <c r="ED28" s="9">
        <v>4216.666666666667</v>
      </c>
      <c r="EE28" s="9">
        <v>4216.666666666667</v>
      </c>
      <c r="EF28" s="9">
        <v>4216.666666666667</v>
      </c>
      <c r="EG28" s="5">
        <v>4216.666666666667</v>
      </c>
      <c r="EH28" s="5">
        <v>4216.666666666667</v>
      </c>
    </row>
    <row r="29" spans="3:138" s="5" customFormat="1" x14ac:dyDescent="0.25">
      <c r="C29" s="6"/>
      <c r="D29" s="6" t="s">
        <v>0</v>
      </c>
      <c r="E29" s="7"/>
      <c r="F29" s="8"/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4091.6666666666665</v>
      </c>
      <c r="DY29" s="9">
        <v>3879.1666666666665</v>
      </c>
      <c r="DZ29" s="9">
        <v>4091.6666666666665</v>
      </c>
      <c r="EA29" s="9">
        <v>4091.6666666666665</v>
      </c>
      <c r="EB29" s="9">
        <v>4091.6666666666665</v>
      </c>
      <c r="EC29" s="9">
        <v>4091.6666666666665</v>
      </c>
      <c r="ED29" s="9">
        <v>4091.6666666666665</v>
      </c>
      <c r="EE29" s="9">
        <v>4091.6666666666665</v>
      </c>
      <c r="EF29" s="9">
        <v>4091.6666666666665</v>
      </c>
      <c r="EG29" s="5">
        <v>4091.6666666666665</v>
      </c>
      <c r="EH29" s="5">
        <v>4091.6666666666665</v>
      </c>
    </row>
    <row r="30" spans="3:138" s="5" customFormat="1" x14ac:dyDescent="0.25">
      <c r="C30" s="6"/>
      <c r="D30" s="6" t="s">
        <v>0</v>
      </c>
      <c r="E30" s="7"/>
      <c r="F30" s="8"/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4050</v>
      </c>
      <c r="EC30" s="9">
        <v>4050</v>
      </c>
      <c r="ED30" s="9">
        <v>4050</v>
      </c>
      <c r="EE30" s="9">
        <v>4050</v>
      </c>
      <c r="EF30" s="9">
        <v>4050</v>
      </c>
      <c r="EG30" s="5">
        <v>4050</v>
      </c>
      <c r="EH30" s="5">
        <v>4050</v>
      </c>
    </row>
    <row r="31" spans="3:138" s="5" customFormat="1" x14ac:dyDescent="0.25">
      <c r="C31" s="6"/>
      <c r="D31" s="6" t="s">
        <v>0</v>
      </c>
      <c r="E31" s="7"/>
      <c r="F31" s="8"/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3825</v>
      </c>
      <c r="DT31" s="9">
        <v>3825</v>
      </c>
      <c r="DU31" s="9">
        <v>3825</v>
      </c>
      <c r="DV31" s="9">
        <v>3825</v>
      </c>
      <c r="DW31" s="9">
        <v>3825</v>
      </c>
      <c r="DX31" s="9">
        <v>3825</v>
      </c>
      <c r="DY31" s="9">
        <v>3825</v>
      </c>
      <c r="DZ31" s="9">
        <v>3825</v>
      </c>
      <c r="EA31" s="9">
        <v>3825</v>
      </c>
      <c r="EB31" s="9">
        <v>3825</v>
      </c>
      <c r="EC31" s="9">
        <v>3825</v>
      </c>
      <c r="ED31" s="9">
        <v>3825</v>
      </c>
      <c r="EE31" s="9">
        <v>3825</v>
      </c>
      <c r="EF31" s="9">
        <v>3825</v>
      </c>
      <c r="EG31" s="5">
        <v>3825</v>
      </c>
      <c r="EH31" s="5">
        <v>3825</v>
      </c>
    </row>
    <row r="32" spans="3:138" s="5" customFormat="1" x14ac:dyDescent="0.25">
      <c r="C32" s="6"/>
      <c r="D32" s="6" t="s">
        <v>0</v>
      </c>
      <c r="E32" s="7"/>
      <c r="F32" s="8"/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3375</v>
      </c>
      <c r="EF32" s="9">
        <v>0</v>
      </c>
      <c r="EG32" s="5">
        <v>0</v>
      </c>
      <c r="EH32" s="5">
        <v>3375</v>
      </c>
    </row>
    <row r="33" spans="3:138" s="5" customFormat="1" x14ac:dyDescent="0.25">
      <c r="C33" s="6"/>
      <c r="D33" s="6" t="s">
        <v>0</v>
      </c>
      <c r="E33" s="7"/>
      <c r="F33" s="8"/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3325</v>
      </c>
      <c r="DL33" s="9">
        <v>3325</v>
      </c>
      <c r="DM33" s="9">
        <v>3325</v>
      </c>
      <c r="DN33" s="9">
        <v>3325</v>
      </c>
      <c r="DO33" s="9">
        <v>3325</v>
      </c>
      <c r="DP33" s="9">
        <v>3325</v>
      </c>
      <c r="DQ33" s="9">
        <v>3325</v>
      </c>
      <c r="DR33" s="9">
        <v>3325</v>
      </c>
      <c r="DS33" s="9">
        <v>3325</v>
      </c>
      <c r="DT33" s="9">
        <v>3325</v>
      </c>
      <c r="DU33" s="9">
        <v>3325</v>
      </c>
      <c r="DV33" s="9">
        <v>3325</v>
      </c>
      <c r="DW33" s="9">
        <v>3325</v>
      </c>
      <c r="DX33" s="9">
        <v>3325</v>
      </c>
      <c r="DY33" s="9">
        <v>3325</v>
      </c>
      <c r="DZ33" s="9">
        <v>3325</v>
      </c>
      <c r="EA33" s="9">
        <v>3325</v>
      </c>
      <c r="EB33" s="9">
        <v>3325</v>
      </c>
      <c r="EC33" s="9">
        <v>3325</v>
      </c>
      <c r="ED33" s="9">
        <v>3325</v>
      </c>
      <c r="EE33" s="9">
        <v>3325</v>
      </c>
      <c r="EF33" s="9">
        <v>3325</v>
      </c>
      <c r="EG33" s="5">
        <v>3325</v>
      </c>
      <c r="EH33" s="5">
        <v>3325</v>
      </c>
    </row>
    <row r="34" spans="3:138" s="5" customFormat="1" x14ac:dyDescent="0.25">
      <c r="C34" s="6"/>
      <c r="D34" s="6" t="s">
        <v>0</v>
      </c>
      <c r="E34" s="7"/>
      <c r="F34" s="8"/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1490</v>
      </c>
      <c r="DT34" s="9">
        <v>1490</v>
      </c>
      <c r="DU34" s="9">
        <v>1490</v>
      </c>
      <c r="DV34" s="9">
        <v>1490</v>
      </c>
      <c r="DW34" s="9">
        <v>1490</v>
      </c>
      <c r="DX34" s="9">
        <v>1490</v>
      </c>
      <c r="DY34" s="9">
        <v>1490</v>
      </c>
      <c r="DZ34" s="9">
        <v>3312</v>
      </c>
      <c r="EA34" s="9">
        <v>3312</v>
      </c>
      <c r="EB34" s="9">
        <v>3312</v>
      </c>
      <c r="EC34" s="9">
        <v>3312</v>
      </c>
      <c r="ED34" s="9">
        <v>3312</v>
      </c>
      <c r="EE34" s="9">
        <v>3312</v>
      </c>
      <c r="EF34" s="9">
        <v>3312</v>
      </c>
      <c r="EG34" s="5">
        <v>3312</v>
      </c>
      <c r="EH34" s="5">
        <v>3312</v>
      </c>
    </row>
    <row r="35" spans="3:138" s="5" customFormat="1" x14ac:dyDescent="0.25">
      <c r="C35" s="6"/>
      <c r="D35" s="6" t="s">
        <v>0</v>
      </c>
      <c r="E35" s="7"/>
      <c r="F35" s="8"/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3289.5</v>
      </c>
      <c r="DL35" s="9">
        <v>3289.5</v>
      </c>
      <c r="DM35" s="9">
        <v>29.166666666666668</v>
      </c>
      <c r="DN35" s="9">
        <v>29.166666666666668</v>
      </c>
      <c r="DO35" s="9">
        <v>29.166666666666668</v>
      </c>
      <c r="DP35" s="9">
        <v>29.166666666666668</v>
      </c>
      <c r="DQ35" s="9">
        <v>29.166666666666668</v>
      </c>
      <c r="DR35" s="9">
        <v>29.166666666666668</v>
      </c>
      <c r="DS35" s="9">
        <v>29.166666666666668</v>
      </c>
      <c r="DT35" s="9">
        <v>29.166666666666668</v>
      </c>
      <c r="DU35" s="9">
        <v>29.166666666666668</v>
      </c>
      <c r="DV35" s="9">
        <v>3289.5</v>
      </c>
      <c r="DW35" s="9">
        <v>3289.5</v>
      </c>
      <c r="DX35" s="9">
        <v>3289.5</v>
      </c>
      <c r="DY35" s="9">
        <v>3289.5</v>
      </c>
      <c r="DZ35" s="9">
        <v>3289.5</v>
      </c>
      <c r="EA35" s="9">
        <v>3289.5</v>
      </c>
      <c r="EB35" s="9">
        <v>3289.5</v>
      </c>
      <c r="EC35" s="9">
        <v>3289.5</v>
      </c>
      <c r="ED35" s="9">
        <v>3289.5</v>
      </c>
      <c r="EE35" s="9">
        <v>3289.5</v>
      </c>
      <c r="EF35" s="9">
        <v>3289.5</v>
      </c>
      <c r="EG35" s="5">
        <v>3289.5</v>
      </c>
      <c r="EH35" s="5">
        <v>3289.5</v>
      </c>
    </row>
    <row r="36" spans="3:138" s="5" customFormat="1" x14ac:dyDescent="0.25">
      <c r="C36" s="6"/>
      <c r="D36" s="6" t="s">
        <v>0</v>
      </c>
      <c r="E36" s="7"/>
      <c r="F36" s="8"/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3285</v>
      </c>
      <c r="EC36" s="9">
        <v>3285</v>
      </c>
      <c r="ED36" s="9">
        <v>3285</v>
      </c>
      <c r="EE36" s="9">
        <v>3285</v>
      </c>
      <c r="EF36" s="9">
        <v>3285</v>
      </c>
      <c r="EG36" s="5">
        <v>3285</v>
      </c>
      <c r="EH36" s="5">
        <v>3285</v>
      </c>
    </row>
    <row r="37" spans="3:138" s="5" customFormat="1" x14ac:dyDescent="0.25">
      <c r="C37" s="6"/>
      <c r="D37" s="6" t="s">
        <v>0</v>
      </c>
      <c r="E37" s="7"/>
      <c r="F37" s="8"/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3105</v>
      </c>
      <c r="DL37" s="9">
        <v>3105</v>
      </c>
      <c r="DM37" s="9">
        <v>3105</v>
      </c>
      <c r="DN37" s="9">
        <v>3105</v>
      </c>
      <c r="DO37" s="9">
        <v>3105</v>
      </c>
      <c r="DP37" s="9">
        <v>3105</v>
      </c>
      <c r="DQ37" s="9">
        <v>3105</v>
      </c>
      <c r="DR37" s="9">
        <v>3105</v>
      </c>
      <c r="DS37" s="9">
        <v>3105</v>
      </c>
      <c r="DT37" s="9">
        <v>3105</v>
      </c>
      <c r="DU37" s="9">
        <v>3105</v>
      </c>
      <c r="DV37" s="9">
        <v>3105</v>
      </c>
      <c r="DW37" s="9">
        <v>3105</v>
      </c>
      <c r="DX37" s="9">
        <v>3105</v>
      </c>
      <c r="DY37" s="9">
        <v>3105</v>
      </c>
      <c r="DZ37" s="9">
        <v>3105</v>
      </c>
      <c r="EA37" s="9">
        <v>3105</v>
      </c>
      <c r="EB37" s="9">
        <v>3105</v>
      </c>
      <c r="EC37" s="9">
        <v>3105</v>
      </c>
      <c r="ED37" s="9">
        <v>3105</v>
      </c>
      <c r="EE37" s="9">
        <v>3105</v>
      </c>
      <c r="EF37" s="9">
        <v>3105</v>
      </c>
      <c r="EG37" s="5">
        <v>3105</v>
      </c>
      <c r="EH37" s="5">
        <v>3105</v>
      </c>
    </row>
    <row r="38" spans="3:138" s="5" customFormat="1" x14ac:dyDescent="0.25">
      <c r="C38" s="6"/>
      <c r="D38" s="6" t="s">
        <v>0</v>
      </c>
      <c r="E38" s="7"/>
      <c r="F38" s="8"/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29.166666666666668</v>
      </c>
      <c r="DM38" s="9">
        <v>29.166666666666668</v>
      </c>
      <c r="DN38" s="9">
        <v>29.166666666666668</v>
      </c>
      <c r="DO38" s="9">
        <v>29.166666666666668</v>
      </c>
      <c r="DP38" s="9">
        <v>29.166666666666668</v>
      </c>
      <c r="DQ38" s="9">
        <v>29.166666666666668</v>
      </c>
      <c r="DR38" s="9">
        <v>29.166666666666668</v>
      </c>
      <c r="DS38" s="9">
        <v>29.166666666666668</v>
      </c>
      <c r="DT38" s="9">
        <v>3042.75</v>
      </c>
      <c r="DU38" s="9">
        <v>3042.75</v>
      </c>
      <c r="DV38" s="9">
        <v>3042.75</v>
      </c>
      <c r="DW38" s="9">
        <v>3042.75</v>
      </c>
      <c r="DX38" s="9">
        <v>3042.75</v>
      </c>
      <c r="DY38" s="9">
        <v>3042.75</v>
      </c>
      <c r="DZ38" s="9">
        <v>3042.75</v>
      </c>
      <c r="EA38" s="9">
        <v>3042.75</v>
      </c>
      <c r="EB38" s="9">
        <v>3042.75</v>
      </c>
      <c r="EC38" s="9">
        <v>3042.75</v>
      </c>
      <c r="ED38" s="9">
        <v>3042.75</v>
      </c>
      <c r="EE38" s="9">
        <v>3042.75</v>
      </c>
      <c r="EF38" s="9">
        <v>3042.75</v>
      </c>
      <c r="EG38" s="5">
        <v>3042.75</v>
      </c>
      <c r="EH38" s="5">
        <v>3042.75</v>
      </c>
    </row>
    <row r="39" spans="3:138" s="5" customFormat="1" x14ac:dyDescent="0.25">
      <c r="C39" s="6"/>
      <c r="D39" s="6" t="s">
        <v>0</v>
      </c>
      <c r="E39" s="7"/>
      <c r="F39" s="8"/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2930</v>
      </c>
      <c r="EC39" s="9">
        <v>2930</v>
      </c>
      <c r="ED39" s="9">
        <v>2930</v>
      </c>
      <c r="EE39" s="9">
        <v>2930</v>
      </c>
      <c r="EF39" s="9">
        <v>2930</v>
      </c>
      <c r="EG39" s="5">
        <v>2930</v>
      </c>
      <c r="EH39" s="5">
        <v>2930</v>
      </c>
    </row>
    <row r="40" spans="3:138" s="5" customFormat="1" x14ac:dyDescent="0.25">
      <c r="C40" s="6"/>
      <c r="D40" s="6" t="s">
        <v>0</v>
      </c>
      <c r="E40" s="7"/>
      <c r="F40" s="8"/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2880</v>
      </c>
      <c r="DZ40" s="9">
        <v>2880</v>
      </c>
      <c r="EA40" s="9">
        <v>2880</v>
      </c>
      <c r="EB40" s="9">
        <v>2880</v>
      </c>
      <c r="EC40" s="9">
        <v>2880</v>
      </c>
      <c r="ED40" s="9">
        <v>2880</v>
      </c>
      <c r="EE40" s="9">
        <v>2880</v>
      </c>
      <c r="EF40" s="9">
        <v>2880</v>
      </c>
      <c r="EG40" s="5">
        <v>2880</v>
      </c>
      <c r="EH40" s="5">
        <v>2880</v>
      </c>
    </row>
    <row r="41" spans="3:138" s="5" customFormat="1" x14ac:dyDescent="0.25">
      <c r="C41" s="6"/>
      <c r="D41" s="6" t="s">
        <v>0</v>
      </c>
      <c r="E41" s="7"/>
      <c r="F41" s="8"/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2374</v>
      </c>
      <c r="DZ41" s="9">
        <v>2374</v>
      </c>
      <c r="EA41" s="9">
        <v>2374</v>
      </c>
      <c r="EB41" s="9">
        <v>2374</v>
      </c>
      <c r="EC41" s="9">
        <v>2374</v>
      </c>
      <c r="ED41" s="9">
        <v>2374</v>
      </c>
      <c r="EE41" s="9">
        <v>2374</v>
      </c>
      <c r="EF41" s="9">
        <v>2374</v>
      </c>
      <c r="EG41" s="5">
        <v>2374</v>
      </c>
      <c r="EH41" s="5">
        <v>2374</v>
      </c>
    </row>
    <row r="42" spans="3:138" s="5" customFormat="1" x14ac:dyDescent="0.25">
      <c r="C42" s="6"/>
      <c r="D42" s="6" t="s">
        <v>0</v>
      </c>
      <c r="E42" s="7"/>
      <c r="F42" s="8"/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2294.6666666666665</v>
      </c>
      <c r="EG42" s="5">
        <v>2294.6666666666665</v>
      </c>
      <c r="EH42" s="5">
        <v>2294.6666666666665</v>
      </c>
    </row>
    <row r="43" spans="3:138" s="5" customFormat="1" x14ac:dyDescent="0.25">
      <c r="C43" s="6"/>
      <c r="D43" s="6" t="s">
        <v>0</v>
      </c>
      <c r="E43" s="7"/>
      <c r="F43" s="8"/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5">
        <v>2128</v>
      </c>
      <c r="EH43" s="5">
        <v>2128</v>
      </c>
    </row>
    <row r="44" spans="3:138" s="5" customFormat="1" x14ac:dyDescent="0.25">
      <c r="C44" s="6"/>
      <c r="D44" s="6" t="s">
        <v>0</v>
      </c>
      <c r="E44" s="7"/>
      <c r="F44" s="8"/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5">
        <v>0</v>
      </c>
      <c r="EH44" s="5">
        <v>2128</v>
      </c>
    </row>
    <row r="45" spans="3:138" s="5" customFormat="1" x14ac:dyDescent="0.25">
      <c r="C45" s="6"/>
      <c r="D45" s="6" t="s">
        <v>0</v>
      </c>
      <c r="E45" s="7"/>
      <c r="F45" s="8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2083</v>
      </c>
      <c r="EE45" s="9">
        <v>2083</v>
      </c>
      <c r="EF45" s="9">
        <v>0</v>
      </c>
      <c r="EG45" s="5">
        <v>2083</v>
      </c>
      <c r="EH45" s="5">
        <v>2083</v>
      </c>
    </row>
    <row r="46" spans="3:138" s="5" customFormat="1" x14ac:dyDescent="0.25">
      <c r="C46" s="6"/>
      <c r="D46" s="6" t="s">
        <v>0</v>
      </c>
      <c r="E46" s="7"/>
      <c r="F46" s="8"/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2083</v>
      </c>
      <c r="EF46" s="9">
        <v>0</v>
      </c>
      <c r="EG46" s="5">
        <v>0</v>
      </c>
      <c r="EH46" s="5">
        <v>2083</v>
      </c>
    </row>
    <row r="47" spans="3:138" s="5" customFormat="1" x14ac:dyDescent="0.25">
      <c r="C47" s="6"/>
      <c r="D47" s="6" t="s">
        <v>0</v>
      </c>
      <c r="E47" s="7"/>
      <c r="F47" s="8"/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2075</v>
      </c>
      <c r="EE47" s="9">
        <v>2075</v>
      </c>
      <c r="EF47" s="9">
        <v>0</v>
      </c>
      <c r="EG47" s="5">
        <v>2075</v>
      </c>
      <c r="EH47" s="5">
        <v>2075</v>
      </c>
    </row>
    <row r="48" spans="3:138" s="5" customFormat="1" x14ac:dyDescent="0.25">
      <c r="C48" s="6"/>
      <c r="D48" s="6" t="s">
        <v>0</v>
      </c>
      <c r="E48" s="7"/>
      <c r="F48" s="8"/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2033.3333333333333</v>
      </c>
      <c r="EC48" s="9">
        <v>2033.3333333333333</v>
      </c>
      <c r="ED48" s="9">
        <v>2033.3333333333333</v>
      </c>
      <c r="EE48" s="9">
        <v>2033.3333333333333</v>
      </c>
      <c r="EF48" s="9">
        <v>2033.3333333333333</v>
      </c>
      <c r="EG48" s="5">
        <v>2033.3333333333333</v>
      </c>
      <c r="EH48" s="5">
        <v>2033.3333333333333</v>
      </c>
    </row>
    <row r="49" spans="3:138" s="5" customFormat="1" x14ac:dyDescent="0.25">
      <c r="C49" s="6"/>
      <c r="D49" s="6" t="s">
        <v>0</v>
      </c>
      <c r="E49" s="7"/>
      <c r="F49" s="8"/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1950</v>
      </c>
      <c r="DT49" s="9">
        <v>1950</v>
      </c>
      <c r="DU49" s="9">
        <v>1950</v>
      </c>
      <c r="DV49" s="9">
        <v>1950</v>
      </c>
      <c r="DW49" s="9">
        <v>1950</v>
      </c>
      <c r="DX49" s="9">
        <v>1950</v>
      </c>
      <c r="DY49" s="9">
        <v>1950</v>
      </c>
      <c r="DZ49" s="9">
        <v>1950</v>
      </c>
      <c r="EA49" s="9">
        <v>1950</v>
      </c>
      <c r="EB49" s="9">
        <v>1950</v>
      </c>
      <c r="EC49" s="9">
        <v>1950</v>
      </c>
      <c r="ED49" s="9">
        <v>1950</v>
      </c>
      <c r="EE49" s="9">
        <v>1950</v>
      </c>
      <c r="EF49" s="9">
        <v>1950</v>
      </c>
      <c r="EG49" s="5">
        <v>1950</v>
      </c>
      <c r="EH49" s="5">
        <v>1950</v>
      </c>
    </row>
    <row r="50" spans="3:138" s="5" customFormat="1" x14ac:dyDescent="0.25">
      <c r="C50" s="6"/>
      <c r="D50" s="6" t="s">
        <v>0</v>
      </c>
      <c r="E50" s="7"/>
      <c r="F50" s="8"/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1950</v>
      </c>
      <c r="DT50" s="9">
        <v>1950</v>
      </c>
      <c r="DU50" s="9">
        <v>1950</v>
      </c>
      <c r="DV50" s="9">
        <v>1950</v>
      </c>
      <c r="DW50" s="9">
        <v>1950</v>
      </c>
      <c r="DX50" s="9">
        <v>1950</v>
      </c>
      <c r="DY50" s="9">
        <v>1950</v>
      </c>
      <c r="DZ50" s="9">
        <v>1950</v>
      </c>
      <c r="EA50" s="9">
        <v>1950</v>
      </c>
      <c r="EB50" s="9">
        <v>1950</v>
      </c>
      <c r="EC50" s="9">
        <v>1950</v>
      </c>
      <c r="ED50" s="9">
        <v>1950</v>
      </c>
      <c r="EE50" s="9">
        <v>1950</v>
      </c>
      <c r="EF50" s="9">
        <v>1950</v>
      </c>
      <c r="EG50" s="5">
        <v>1950</v>
      </c>
      <c r="EH50" s="5">
        <v>1950</v>
      </c>
    </row>
    <row r="51" spans="3:138" s="5" customFormat="1" x14ac:dyDescent="0.25">
      <c r="C51" s="6"/>
      <c r="D51" s="6" t="s">
        <v>0</v>
      </c>
      <c r="E51" s="7"/>
      <c r="F51" s="8"/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1950</v>
      </c>
      <c r="DU51" s="9">
        <v>1950</v>
      </c>
      <c r="DV51" s="9">
        <v>1950</v>
      </c>
      <c r="DW51" s="9">
        <v>1950</v>
      </c>
      <c r="DX51" s="9">
        <v>1950</v>
      </c>
      <c r="DY51" s="9">
        <v>1950</v>
      </c>
      <c r="DZ51" s="9">
        <v>1950</v>
      </c>
      <c r="EA51" s="9">
        <v>1950</v>
      </c>
      <c r="EB51" s="9">
        <v>1950</v>
      </c>
      <c r="EC51" s="9">
        <v>1950</v>
      </c>
      <c r="ED51" s="9">
        <v>1950</v>
      </c>
      <c r="EE51" s="9">
        <v>1950</v>
      </c>
      <c r="EF51" s="9">
        <v>1950</v>
      </c>
      <c r="EG51" s="5">
        <v>1950</v>
      </c>
      <c r="EH51" s="5">
        <v>1950</v>
      </c>
    </row>
    <row r="52" spans="3:138" s="5" customFormat="1" x14ac:dyDescent="0.25">
      <c r="C52" s="6"/>
      <c r="D52" s="6" t="s">
        <v>0</v>
      </c>
      <c r="E52" s="7"/>
      <c r="F52" s="8"/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1950</v>
      </c>
      <c r="DS52" s="9">
        <v>1950</v>
      </c>
      <c r="DT52" s="9">
        <v>1950</v>
      </c>
      <c r="DU52" s="9">
        <v>1950</v>
      </c>
      <c r="DV52" s="9">
        <v>1950</v>
      </c>
      <c r="DW52" s="9">
        <v>1950</v>
      </c>
      <c r="DX52" s="9">
        <v>1950</v>
      </c>
      <c r="DY52" s="9">
        <v>1950</v>
      </c>
      <c r="DZ52" s="9">
        <v>1950</v>
      </c>
      <c r="EA52" s="9">
        <v>1950</v>
      </c>
      <c r="EB52" s="9">
        <v>1950</v>
      </c>
      <c r="EC52" s="9">
        <v>1950</v>
      </c>
      <c r="ED52" s="9">
        <v>1950</v>
      </c>
      <c r="EE52" s="9">
        <v>1950</v>
      </c>
      <c r="EF52" s="9">
        <v>1950</v>
      </c>
      <c r="EG52" s="5">
        <v>1950</v>
      </c>
      <c r="EH52" s="5">
        <v>1950</v>
      </c>
    </row>
    <row r="53" spans="3:138" s="5" customFormat="1" x14ac:dyDescent="0.25">
      <c r="C53" s="6"/>
      <c r="D53" s="6" t="s">
        <v>0</v>
      </c>
      <c r="E53" s="7"/>
      <c r="F53" s="8"/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1950</v>
      </c>
      <c r="EB53" s="9">
        <v>1950</v>
      </c>
      <c r="EC53" s="9">
        <v>1950</v>
      </c>
      <c r="ED53" s="9">
        <v>1950</v>
      </c>
      <c r="EE53" s="9">
        <v>1950</v>
      </c>
      <c r="EF53" s="9">
        <v>1950</v>
      </c>
      <c r="EG53" s="5">
        <v>1950</v>
      </c>
      <c r="EH53" s="5">
        <v>1950</v>
      </c>
    </row>
    <row r="54" spans="3:138" s="5" customFormat="1" x14ac:dyDescent="0.25">
      <c r="C54" s="6"/>
      <c r="D54" s="6" t="s">
        <v>0</v>
      </c>
      <c r="E54" s="7"/>
      <c r="F54" s="8"/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1950</v>
      </c>
      <c r="EE54" s="9">
        <v>1950</v>
      </c>
      <c r="EF54" s="9">
        <v>0</v>
      </c>
      <c r="EG54" s="5">
        <v>1950</v>
      </c>
      <c r="EH54" s="5">
        <v>1950</v>
      </c>
    </row>
    <row r="55" spans="3:138" s="5" customFormat="1" x14ac:dyDescent="0.25">
      <c r="C55" s="6"/>
      <c r="D55" s="6" t="s">
        <v>0</v>
      </c>
      <c r="E55" s="7"/>
      <c r="F55" s="8"/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1920</v>
      </c>
      <c r="DL55" s="9">
        <v>1920</v>
      </c>
      <c r="DM55" s="9">
        <v>1920</v>
      </c>
      <c r="DN55" s="9">
        <v>1920</v>
      </c>
      <c r="DO55" s="9">
        <v>1920</v>
      </c>
      <c r="DP55" s="9">
        <v>1920</v>
      </c>
      <c r="DQ55" s="9">
        <v>1920</v>
      </c>
      <c r="DR55" s="9">
        <v>1920</v>
      </c>
      <c r="DS55" s="9">
        <v>1920</v>
      </c>
      <c r="DT55" s="9">
        <v>1920</v>
      </c>
      <c r="DU55" s="9">
        <v>1920</v>
      </c>
      <c r="DV55" s="9">
        <v>1920</v>
      </c>
      <c r="DW55" s="9">
        <v>1920</v>
      </c>
      <c r="DX55" s="9">
        <v>1920</v>
      </c>
      <c r="DY55" s="9">
        <v>1920</v>
      </c>
      <c r="DZ55" s="9">
        <v>1920</v>
      </c>
      <c r="EA55" s="9">
        <v>1920</v>
      </c>
      <c r="EB55" s="9">
        <v>1920</v>
      </c>
      <c r="EC55" s="9">
        <v>1920</v>
      </c>
      <c r="ED55" s="9">
        <v>1920</v>
      </c>
      <c r="EE55" s="9">
        <v>1920</v>
      </c>
      <c r="EF55" s="9">
        <v>1920</v>
      </c>
      <c r="EG55" s="5">
        <v>1920</v>
      </c>
      <c r="EH55" s="5">
        <v>1920</v>
      </c>
    </row>
    <row r="56" spans="3:138" s="5" customFormat="1" x14ac:dyDescent="0.25">
      <c r="C56" s="6"/>
      <c r="D56" s="6" t="s">
        <v>0</v>
      </c>
      <c r="E56" s="7"/>
      <c r="F56" s="8"/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1781</v>
      </c>
      <c r="EC56" s="9">
        <v>1781</v>
      </c>
      <c r="ED56" s="9">
        <v>1781</v>
      </c>
      <c r="EE56" s="9">
        <v>1781</v>
      </c>
      <c r="EF56" s="9">
        <v>1781</v>
      </c>
      <c r="EG56" s="5">
        <v>1781</v>
      </c>
      <c r="EH56" s="5">
        <v>1781</v>
      </c>
    </row>
    <row r="57" spans="3:138" s="5" customFormat="1" x14ac:dyDescent="0.25">
      <c r="C57" s="6"/>
      <c r="D57" s="6" t="s">
        <v>0</v>
      </c>
      <c r="E57" s="7"/>
      <c r="F57" s="8"/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1761</v>
      </c>
      <c r="DW57" s="9">
        <v>1761</v>
      </c>
      <c r="DX57" s="9">
        <v>1761</v>
      </c>
      <c r="DY57" s="9">
        <v>1761</v>
      </c>
      <c r="DZ57" s="9">
        <v>1761</v>
      </c>
      <c r="EA57" s="9">
        <v>1761</v>
      </c>
      <c r="EB57" s="9">
        <v>1761</v>
      </c>
      <c r="EC57" s="9">
        <v>1761</v>
      </c>
      <c r="ED57" s="9">
        <v>1761</v>
      </c>
      <c r="EE57" s="9">
        <v>1761</v>
      </c>
      <c r="EF57" s="9">
        <v>1761</v>
      </c>
      <c r="EG57" s="5">
        <v>1761</v>
      </c>
      <c r="EH57" s="5">
        <v>1761</v>
      </c>
    </row>
    <row r="58" spans="3:138" s="5" customFormat="1" x14ac:dyDescent="0.25">
      <c r="C58" s="6"/>
      <c r="D58" s="6" t="s">
        <v>0</v>
      </c>
      <c r="E58" s="7"/>
      <c r="F58" s="8"/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1760</v>
      </c>
      <c r="DL58" s="9">
        <v>1760</v>
      </c>
      <c r="DM58" s="9">
        <v>1760</v>
      </c>
      <c r="DN58" s="9">
        <v>1760</v>
      </c>
      <c r="DO58" s="9">
        <v>1760</v>
      </c>
      <c r="DP58" s="9">
        <v>1760</v>
      </c>
      <c r="DQ58" s="9">
        <v>1760</v>
      </c>
      <c r="DR58" s="9">
        <v>1760</v>
      </c>
      <c r="DS58" s="9">
        <v>1760</v>
      </c>
      <c r="DT58" s="9">
        <v>1760</v>
      </c>
      <c r="DU58" s="9">
        <v>1760</v>
      </c>
      <c r="DV58" s="9">
        <v>1760</v>
      </c>
      <c r="DW58" s="9">
        <v>1760</v>
      </c>
      <c r="DX58" s="9">
        <v>1760</v>
      </c>
      <c r="DY58" s="9">
        <v>1760</v>
      </c>
      <c r="DZ58" s="9">
        <v>1760</v>
      </c>
      <c r="EA58" s="9">
        <v>1760</v>
      </c>
      <c r="EB58" s="9">
        <v>1760</v>
      </c>
      <c r="EC58" s="9">
        <v>1760</v>
      </c>
      <c r="ED58" s="9">
        <v>1760</v>
      </c>
      <c r="EE58" s="9">
        <v>1760</v>
      </c>
      <c r="EF58" s="9">
        <v>1760</v>
      </c>
      <c r="EG58" s="5">
        <v>1760</v>
      </c>
      <c r="EH58" s="5">
        <v>1760</v>
      </c>
    </row>
    <row r="59" spans="3:138" s="5" customFormat="1" x14ac:dyDescent="0.25">
      <c r="C59" s="6"/>
      <c r="D59" s="6" t="s">
        <v>0</v>
      </c>
      <c r="E59" s="7"/>
      <c r="F59" s="8"/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1573.6666666666667</v>
      </c>
      <c r="DR59" s="9">
        <v>1573.6666666666667</v>
      </c>
      <c r="DS59" s="9">
        <v>1573.6666666666667</v>
      </c>
      <c r="DT59" s="9">
        <v>1573.6666666666667</v>
      </c>
      <c r="DU59" s="9">
        <v>1573.6666666666667</v>
      </c>
      <c r="DV59" s="9">
        <v>1573.6666666666667</v>
      </c>
      <c r="DW59" s="9">
        <v>1573.6666666666667</v>
      </c>
      <c r="DX59" s="9">
        <v>1573.6666666666667</v>
      </c>
      <c r="DY59" s="9">
        <v>1573.6666666666667</v>
      </c>
      <c r="DZ59" s="9">
        <v>1573.6666666666667</v>
      </c>
      <c r="EA59" s="9">
        <v>1573.6666666666667</v>
      </c>
      <c r="EB59" s="9">
        <v>1573.6666666666667</v>
      </c>
      <c r="EC59" s="9">
        <v>1573.6666666666667</v>
      </c>
      <c r="ED59" s="9">
        <v>1573.6666666666667</v>
      </c>
      <c r="EE59" s="9">
        <v>1573.6666666666667</v>
      </c>
      <c r="EF59" s="9">
        <v>1573.6666666666667</v>
      </c>
      <c r="EG59" s="5">
        <v>1573.6666666666667</v>
      </c>
      <c r="EH59" s="5">
        <v>1573.6666666666667</v>
      </c>
    </row>
    <row r="60" spans="3:138" s="5" customFormat="1" x14ac:dyDescent="0.25">
      <c r="C60" s="6"/>
      <c r="D60" s="6" t="s">
        <v>0</v>
      </c>
      <c r="E60" s="7"/>
      <c r="F60" s="8"/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1541.6666666666667</v>
      </c>
      <c r="EF60" s="9">
        <v>0</v>
      </c>
      <c r="EG60" s="5">
        <v>0</v>
      </c>
      <c r="EH60" s="5">
        <v>1541.6666666666667</v>
      </c>
    </row>
    <row r="61" spans="3:138" s="5" customFormat="1" x14ac:dyDescent="0.25">
      <c r="C61" s="6"/>
      <c r="D61" s="6" t="s">
        <v>0</v>
      </c>
      <c r="E61" s="7"/>
      <c r="F61" s="8"/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1400</v>
      </c>
      <c r="DL61" s="9">
        <v>1400</v>
      </c>
      <c r="DM61" s="9">
        <v>1400</v>
      </c>
      <c r="DN61" s="9">
        <v>1400</v>
      </c>
      <c r="DO61" s="9">
        <v>1400</v>
      </c>
      <c r="DP61" s="9">
        <v>1400</v>
      </c>
      <c r="DQ61" s="9">
        <v>1400</v>
      </c>
      <c r="DR61" s="9">
        <v>1400</v>
      </c>
      <c r="DS61" s="9">
        <v>1400</v>
      </c>
      <c r="DT61" s="9">
        <v>1400</v>
      </c>
      <c r="DU61" s="9">
        <v>1400</v>
      </c>
      <c r="DV61" s="9">
        <v>1400</v>
      </c>
      <c r="DW61" s="9">
        <v>1400</v>
      </c>
      <c r="DX61" s="9">
        <v>1400</v>
      </c>
      <c r="DY61" s="9">
        <v>1400</v>
      </c>
      <c r="DZ61" s="9">
        <v>1400</v>
      </c>
      <c r="EA61" s="9">
        <v>1400</v>
      </c>
      <c r="EB61" s="9">
        <v>1400</v>
      </c>
      <c r="EC61" s="9">
        <v>1400</v>
      </c>
      <c r="ED61" s="9">
        <v>1400</v>
      </c>
      <c r="EE61" s="9">
        <v>1400</v>
      </c>
      <c r="EF61" s="9">
        <v>1400</v>
      </c>
      <c r="EG61" s="5">
        <v>1400</v>
      </c>
      <c r="EH61" s="5">
        <v>1400</v>
      </c>
    </row>
    <row r="62" spans="3:138" s="5" customFormat="1" x14ac:dyDescent="0.25">
      <c r="C62" s="6"/>
      <c r="D62" s="6" t="s">
        <v>0</v>
      </c>
      <c r="E62" s="7"/>
      <c r="F62" s="8"/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1375</v>
      </c>
      <c r="EB62" s="9">
        <v>1375</v>
      </c>
      <c r="EC62" s="9">
        <v>1375</v>
      </c>
      <c r="ED62" s="9">
        <v>1375</v>
      </c>
      <c r="EE62" s="9">
        <v>1375</v>
      </c>
      <c r="EF62" s="9">
        <v>1375</v>
      </c>
      <c r="EG62" s="5">
        <v>1375</v>
      </c>
      <c r="EH62" s="5">
        <v>1375</v>
      </c>
    </row>
    <row r="63" spans="3:138" s="5" customFormat="1" x14ac:dyDescent="0.25">
      <c r="C63" s="6"/>
      <c r="D63" s="6" t="s">
        <v>0</v>
      </c>
      <c r="E63" s="7"/>
      <c r="F63" s="8"/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1355</v>
      </c>
      <c r="DL63" s="9">
        <v>1355</v>
      </c>
      <c r="DM63" s="9">
        <v>1355</v>
      </c>
      <c r="DN63" s="9">
        <v>1355</v>
      </c>
      <c r="DO63" s="9">
        <v>1355</v>
      </c>
      <c r="DP63" s="9">
        <v>1355</v>
      </c>
      <c r="DQ63" s="9">
        <v>1355</v>
      </c>
      <c r="DR63" s="9">
        <v>1355</v>
      </c>
      <c r="DS63" s="9">
        <v>1355</v>
      </c>
      <c r="DT63" s="9">
        <v>1355</v>
      </c>
      <c r="DU63" s="9">
        <v>1355</v>
      </c>
      <c r="DV63" s="9">
        <v>1355</v>
      </c>
      <c r="DW63" s="9">
        <v>1355</v>
      </c>
      <c r="DX63" s="9">
        <v>1355</v>
      </c>
      <c r="DY63" s="9">
        <v>1355</v>
      </c>
      <c r="DZ63" s="9">
        <v>1355</v>
      </c>
      <c r="EA63" s="9">
        <v>1355</v>
      </c>
      <c r="EB63" s="9">
        <v>1355</v>
      </c>
      <c r="EC63" s="9">
        <v>1355</v>
      </c>
      <c r="ED63" s="9">
        <v>1355</v>
      </c>
      <c r="EE63" s="9">
        <v>1355</v>
      </c>
      <c r="EF63" s="9">
        <v>1355</v>
      </c>
      <c r="EG63" s="5">
        <v>1355</v>
      </c>
      <c r="EH63" s="5">
        <v>1355</v>
      </c>
    </row>
    <row r="64" spans="3:138" s="5" customFormat="1" x14ac:dyDescent="0.25">
      <c r="C64" s="6"/>
      <c r="D64" s="6" t="s">
        <v>0</v>
      </c>
      <c r="E64" s="7"/>
      <c r="F64" s="8"/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1310</v>
      </c>
      <c r="DL64" s="9">
        <v>1310</v>
      </c>
      <c r="DM64" s="9">
        <v>1310</v>
      </c>
      <c r="DN64" s="9">
        <v>1310</v>
      </c>
      <c r="DO64" s="9">
        <v>1310</v>
      </c>
      <c r="DP64" s="9">
        <v>1310</v>
      </c>
      <c r="DQ64" s="9">
        <v>1310</v>
      </c>
      <c r="DR64" s="9">
        <v>1310</v>
      </c>
      <c r="DS64" s="9">
        <v>1310</v>
      </c>
      <c r="DT64" s="9">
        <v>1310</v>
      </c>
      <c r="DU64" s="9">
        <v>1310</v>
      </c>
      <c r="DV64" s="9">
        <v>1310</v>
      </c>
      <c r="DW64" s="9">
        <v>1310</v>
      </c>
      <c r="DX64" s="9">
        <v>1310</v>
      </c>
      <c r="DY64" s="9">
        <v>1310</v>
      </c>
      <c r="DZ64" s="9">
        <v>1310</v>
      </c>
      <c r="EA64" s="9">
        <v>1310</v>
      </c>
      <c r="EB64" s="9">
        <v>1310</v>
      </c>
      <c r="EC64" s="9">
        <v>1310</v>
      </c>
      <c r="ED64" s="9">
        <v>1310</v>
      </c>
      <c r="EE64" s="9">
        <v>1310</v>
      </c>
      <c r="EF64" s="9">
        <v>1310</v>
      </c>
      <c r="EG64" s="5">
        <v>1310</v>
      </c>
      <c r="EH64" s="5">
        <v>1310</v>
      </c>
    </row>
    <row r="65" spans="3:138" s="5" customFormat="1" x14ac:dyDescent="0.25">
      <c r="C65" s="6"/>
      <c r="D65" s="6" t="s">
        <v>0</v>
      </c>
      <c r="E65" s="7"/>
      <c r="F65" s="8"/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1283</v>
      </c>
      <c r="EC65" s="9">
        <v>1283</v>
      </c>
      <c r="ED65" s="9">
        <v>1283</v>
      </c>
      <c r="EE65" s="9">
        <v>1283</v>
      </c>
      <c r="EF65" s="9">
        <v>1283</v>
      </c>
      <c r="EG65" s="5">
        <v>1283</v>
      </c>
      <c r="EH65" s="5">
        <v>1283</v>
      </c>
    </row>
    <row r="66" spans="3:138" s="5" customFormat="1" x14ac:dyDescent="0.25">
      <c r="C66" s="6"/>
      <c r="D66" s="6" t="s">
        <v>0</v>
      </c>
      <c r="E66" s="7"/>
      <c r="F66" s="8"/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1260</v>
      </c>
      <c r="DL66" s="9">
        <v>1260</v>
      </c>
      <c r="DM66" s="9">
        <v>1260</v>
      </c>
      <c r="DN66" s="9">
        <v>1260</v>
      </c>
      <c r="DO66" s="9">
        <v>1260</v>
      </c>
      <c r="DP66" s="9">
        <v>1260</v>
      </c>
      <c r="DQ66" s="9">
        <v>1260</v>
      </c>
      <c r="DR66" s="9">
        <v>1260</v>
      </c>
      <c r="DS66" s="9">
        <v>1260</v>
      </c>
      <c r="DT66" s="9">
        <v>1260</v>
      </c>
      <c r="DU66" s="9">
        <v>1260</v>
      </c>
      <c r="DV66" s="9">
        <v>1260</v>
      </c>
      <c r="DW66" s="9">
        <v>1260</v>
      </c>
      <c r="DX66" s="9">
        <v>1260</v>
      </c>
      <c r="DY66" s="9">
        <v>1260</v>
      </c>
      <c r="DZ66" s="9">
        <v>1260</v>
      </c>
      <c r="EA66" s="9">
        <v>1260</v>
      </c>
      <c r="EB66" s="9">
        <v>1260</v>
      </c>
      <c r="EC66" s="9">
        <v>1260</v>
      </c>
      <c r="ED66" s="9">
        <v>1260</v>
      </c>
      <c r="EE66" s="9">
        <v>1260</v>
      </c>
      <c r="EF66" s="9">
        <v>1260</v>
      </c>
      <c r="EG66" s="5">
        <v>1260</v>
      </c>
      <c r="EH66" s="5">
        <v>1260</v>
      </c>
    </row>
    <row r="67" spans="3:138" s="5" customFormat="1" x14ac:dyDescent="0.25">
      <c r="C67" s="6"/>
      <c r="D67" s="6" t="s">
        <v>0</v>
      </c>
      <c r="E67" s="7"/>
      <c r="F67" s="8"/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1250</v>
      </c>
      <c r="DZ67" s="9">
        <v>1250</v>
      </c>
      <c r="EA67" s="9">
        <v>1250</v>
      </c>
      <c r="EB67" s="9">
        <v>1250</v>
      </c>
      <c r="EC67" s="9">
        <v>1250</v>
      </c>
      <c r="ED67" s="9">
        <v>1250</v>
      </c>
      <c r="EE67" s="9">
        <v>1250</v>
      </c>
      <c r="EF67" s="9">
        <v>1250</v>
      </c>
      <c r="EG67" s="5">
        <v>1250</v>
      </c>
      <c r="EH67" s="5">
        <v>1250</v>
      </c>
    </row>
    <row r="68" spans="3:138" s="5" customFormat="1" x14ac:dyDescent="0.25">
      <c r="C68" s="6"/>
      <c r="D68" s="6" t="s">
        <v>0</v>
      </c>
      <c r="E68" s="7"/>
      <c r="F68" s="8"/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1250</v>
      </c>
      <c r="DZ68" s="9">
        <v>1250</v>
      </c>
      <c r="EA68" s="9">
        <v>1250</v>
      </c>
      <c r="EB68" s="9">
        <v>1250</v>
      </c>
      <c r="EC68" s="9">
        <v>1250</v>
      </c>
      <c r="ED68" s="9">
        <v>1250</v>
      </c>
      <c r="EE68" s="9">
        <v>1250</v>
      </c>
      <c r="EF68" s="9">
        <v>1250</v>
      </c>
      <c r="EG68" s="5">
        <v>1250</v>
      </c>
      <c r="EH68" s="5">
        <v>1250</v>
      </c>
    </row>
    <row r="69" spans="3:138" s="5" customFormat="1" x14ac:dyDescent="0.25">
      <c r="C69" s="6"/>
      <c r="D69" s="6" t="s">
        <v>0</v>
      </c>
      <c r="E69" s="7"/>
      <c r="F69" s="8"/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1250</v>
      </c>
      <c r="DX69" s="9">
        <v>1250</v>
      </c>
      <c r="DY69" s="9">
        <v>1250</v>
      </c>
      <c r="DZ69" s="9">
        <v>1250</v>
      </c>
      <c r="EA69" s="9">
        <v>1250</v>
      </c>
      <c r="EB69" s="9">
        <v>1250</v>
      </c>
      <c r="EC69" s="9">
        <v>1250</v>
      </c>
      <c r="ED69" s="9">
        <v>1250</v>
      </c>
      <c r="EE69" s="9">
        <v>1250</v>
      </c>
      <c r="EF69" s="9">
        <v>1250</v>
      </c>
      <c r="EG69" s="5">
        <v>1250</v>
      </c>
      <c r="EH69" s="5">
        <v>1250</v>
      </c>
    </row>
    <row r="70" spans="3:138" s="5" customFormat="1" x14ac:dyDescent="0.25">
      <c r="C70" s="6"/>
      <c r="D70" s="6" t="s">
        <v>0</v>
      </c>
      <c r="E70" s="7"/>
      <c r="F70" s="8"/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1250</v>
      </c>
      <c r="EB70" s="9">
        <v>1250</v>
      </c>
      <c r="EC70" s="9">
        <v>1250</v>
      </c>
      <c r="ED70" s="9">
        <v>1250</v>
      </c>
      <c r="EE70" s="9">
        <v>1250</v>
      </c>
      <c r="EF70" s="9">
        <v>1250</v>
      </c>
      <c r="EG70" s="5">
        <v>1250</v>
      </c>
      <c r="EH70" s="5">
        <v>1250</v>
      </c>
    </row>
    <row r="71" spans="3:138" s="5" customFormat="1" x14ac:dyDescent="0.25">
      <c r="C71" s="6"/>
      <c r="D71" s="6" t="s">
        <v>0</v>
      </c>
      <c r="E71" s="7"/>
      <c r="F71" s="8"/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1250</v>
      </c>
      <c r="EC71" s="9">
        <v>1250</v>
      </c>
      <c r="ED71" s="9">
        <v>1250</v>
      </c>
      <c r="EE71" s="9">
        <v>1250</v>
      </c>
      <c r="EF71" s="9">
        <v>1250</v>
      </c>
      <c r="EG71" s="5">
        <v>1250</v>
      </c>
      <c r="EH71" s="5">
        <v>1250</v>
      </c>
    </row>
    <row r="72" spans="3:138" s="5" customFormat="1" x14ac:dyDescent="0.25">
      <c r="C72" s="6"/>
      <c r="D72" s="6" t="s">
        <v>0</v>
      </c>
      <c r="E72" s="7"/>
      <c r="F72" s="8"/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1250</v>
      </c>
      <c r="DV72" s="9">
        <v>1250</v>
      </c>
      <c r="DW72" s="9">
        <v>1250</v>
      </c>
      <c r="DX72" s="9">
        <v>1250</v>
      </c>
      <c r="DY72" s="9">
        <v>1250</v>
      </c>
      <c r="DZ72" s="9">
        <v>1250</v>
      </c>
      <c r="EA72" s="9">
        <v>1250</v>
      </c>
      <c r="EB72" s="9">
        <v>1250</v>
      </c>
      <c r="EC72" s="9">
        <v>1250</v>
      </c>
      <c r="ED72" s="9">
        <v>1250</v>
      </c>
      <c r="EE72" s="9">
        <v>1250</v>
      </c>
      <c r="EF72" s="9">
        <v>1250</v>
      </c>
      <c r="EG72" s="5">
        <v>1250</v>
      </c>
      <c r="EH72" s="5">
        <v>1250</v>
      </c>
    </row>
    <row r="73" spans="3:138" s="5" customFormat="1" x14ac:dyDescent="0.25">
      <c r="C73" s="6"/>
      <c r="D73" s="6" t="s">
        <v>0</v>
      </c>
      <c r="E73" s="7"/>
      <c r="F73" s="8"/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1250</v>
      </c>
      <c r="DO73" s="9">
        <v>1250</v>
      </c>
      <c r="DP73" s="9">
        <v>1250</v>
      </c>
      <c r="DQ73" s="9">
        <v>1250</v>
      </c>
      <c r="DR73" s="9">
        <v>1250</v>
      </c>
      <c r="DS73" s="9">
        <v>1250</v>
      </c>
      <c r="DT73" s="9">
        <v>1250</v>
      </c>
      <c r="DU73" s="9">
        <v>1250</v>
      </c>
      <c r="DV73" s="9">
        <v>1250</v>
      </c>
      <c r="DW73" s="9">
        <v>1250</v>
      </c>
      <c r="DX73" s="9">
        <v>1250</v>
      </c>
      <c r="DY73" s="9">
        <v>1250</v>
      </c>
      <c r="DZ73" s="9">
        <v>1250</v>
      </c>
      <c r="EA73" s="9">
        <v>1250</v>
      </c>
      <c r="EB73" s="9">
        <v>1250</v>
      </c>
      <c r="EC73" s="9">
        <v>1250</v>
      </c>
      <c r="ED73" s="9">
        <v>1250</v>
      </c>
      <c r="EE73" s="9">
        <v>1250</v>
      </c>
      <c r="EF73" s="9">
        <v>1250</v>
      </c>
      <c r="EG73" s="5">
        <v>1250</v>
      </c>
      <c r="EH73" s="5">
        <v>1250</v>
      </c>
    </row>
    <row r="74" spans="3:138" s="5" customFormat="1" x14ac:dyDescent="0.25">
      <c r="C74" s="6"/>
      <c r="D74" s="6" t="s">
        <v>0</v>
      </c>
      <c r="E74" s="7"/>
      <c r="F74" s="8"/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1215</v>
      </c>
      <c r="DV74" s="9">
        <v>1215</v>
      </c>
      <c r="DW74" s="9">
        <v>1215</v>
      </c>
      <c r="DX74" s="9">
        <v>1215</v>
      </c>
      <c r="DY74" s="9">
        <v>1215</v>
      </c>
      <c r="DZ74" s="9">
        <v>1215</v>
      </c>
      <c r="EA74" s="9">
        <v>1215</v>
      </c>
      <c r="EB74" s="9">
        <v>1215</v>
      </c>
      <c r="EC74" s="9">
        <v>1215</v>
      </c>
      <c r="ED74" s="9">
        <v>1215</v>
      </c>
      <c r="EE74" s="9">
        <v>1215</v>
      </c>
      <c r="EF74" s="9">
        <v>1215</v>
      </c>
      <c r="EG74" s="5">
        <v>1215</v>
      </c>
      <c r="EH74" s="5">
        <v>1215</v>
      </c>
    </row>
    <row r="75" spans="3:138" s="5" customFormat="1" x14ac:dyDescent="0.25">
      <c r="C75" s="6"/>
      <c r="D75" s="6" t="s">
        <v>0</v>
      </c>
      <c r="E75" s="7"/>
      <c r="F75" s="8"/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1050</v>
      </c>
      <c r="DL75" s="9">
        <v>1050</v>
      </c>
      <c r="DM75" s="9">
        <v>1050</v>
      </c>
      <c r="DN75" s="9">
        <v>1050</v>
      </c>
      <c r="DO75" s="9">
        <v>1050</v>
      </c>
      <c r="DP75" s="9">
        <v>1050</v>
      </c>
      <c r="DQ75" s="9">
        <v>1050</v>
      </c>
      <c r="DR75" s="9">
        <v>1050</v>
      </c>
      <c r="DS75" s="9">
        <v>1050</v>
      </c>
      <c r="DT75" s="9">
        <v>1050</v>
      </c>
      <c r="DU75" s="9">
        <v>1050</v>
      </c>
      <c r="DV75" s="9">
        <v>1050</v>
      </c>
      <c r="DW75" s="9">
        <v>1050</v>
      </c>
      <c r="DX75" s="9">
        <v>1050</v>
      </c>
      <c r="DY75" s="9">
        <v>1050</v>
      </c>
      <c r="DZ75" s="9">
        <v>1050</v>
      </c>
      <c r="EA75" s="9">
        <v>1050</v>
      </c>
      <c r="EB75" s="9">
        <v>1050</v>
      </c>
      <c r="EC75" s="9">
        <v>1050</v>
      </c>
      <c r="ED75" s="9">
        <v>1050</v>
      </c>
      <c r="EE75" s="9">
        <v>1050</v>
      </c>
      <c r="EF75" s="9">
        <v>1050</v>
      </c>
      <c r="EG75" s="5">
        <v>1050</v>
      </c>
      <c r="EH75" s="5">
        <v>1050</v>
      </c>
    </row>
    <row r="76" spans="3:138" s="5" customFormat="1" x14ac:dyDescent="0.25">
      <c r="C76" s="6"/>
      <c r="D76" s="6" t="s">
        <v>0</v>
      </c>
      <c r="E76" s="7"/>
      <c r="F76" s="8"/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916.66666666666663</v>
      </c>
      <c r="DL76" s="9">
        <v>916.66666666666663</v>
      </c>
      <c r="DM76" s="9">
        <v>916.66666666666663</v>
      </c>
      <c r="DN76" s="9">
        <v>916.66666666666663</v>
      </c>
      <c r="DO76" s="9">
        <v>916.66666666666663</v>
      </c>
      <c r="DP76" s="9">
        <v>916.66666666666663</v>
      </c>
      <c r="DQ76" s="9">
        <v>916.66666666666663</v>
      </c>
      <c r="DR76" s="9">
        <v>916.66666666666663</v>
      </c>
      <c r="DS76" s="9">
        <v>916.66666666666663</v>
      </c>
      <c r="DT76" s="9">
        <v>916.66666666666663</v>
      </c>
      <c r="DU76" s="9">
        <v>916.66666666666663</v>
      </c>
      <c r="DV76" s="9">
        <v>916.66666666666663</v>
      </c>
      <c r="DW76" s="9">
        <v>916.66666666666663</v>
      </c>
      <c r="DX76" s="9">
        <v>916.66666666666663</v>
      </c>
      <c r="DY76" s="9">
        <v>916.66666666666663</v>
      </c>
      <c r="DZ76" s="9">
        <v>916.66666666666663</v>
      </c>
      <c r="EA76" s="9">
        <v>916.66666666666663</v>
      </c>
      <c r="EB76" s="9">
        <v>1030</v>
      </c>
      <c r="EC76" s="9">
        <v>1030</v>
      </c>
      <c r="ED76" s="9">
        <v>1030</v>
      </c>
      <c r="EE76" s="9">
        <v>1030</v>
      </c>
      <c r="EF76" s="9">
        <v>1030</v>
      </c>
      <c r="EG76" s="5">
        <v>1030</v>
      </c>
      <c r="EH76" s="5">
        <v>1030</v>
      </c>
    </row>
    <row r="77" spans="3:138" s="5" customFormat="1" x14ac:dyDescent="0.25">
      <c r="C77" s="6"/>
      <c r="D77" s="6" t="s">
        <v>0</v>
      </c>
      <c r="E77" s="7"/>
      <c r="F77" s="8"/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980</v>
      </c>
      <c r="DS77" s="9">
        <v>980</v>
      </c>
      <c r="DT77" s="9">
        <v>980</v>
      </c>
      <c r="DU77" s="9">
        <v>980</v>
      </c>
      <c r="DV77" s="9">
        <v>980</v>
      </c>
      <c r="DW77" s="9">
        <v>980</v>
      </c>
      <c r="DX77" s="9">
        <v>980</v>
      </c>
      <c r="DY77" s="9">
        <v>980</v>
      </c>
      <c r="DZ77" s="9">
        <v>980</v>
      </c>
      <c r="EA77" s="9">
        <v>980</v>
      </c>
      <c r="EB77" s="9">
        <v>980</v>
      </c>
      <c r="EC77" s="9">
        <v>980</v>
      </c>
      <c r="ED77" s="9">
        <v>980</v>
      </c>
      <c r="EE77" s="9">
        <v>980</v>
      </c>
      <c r="EF77" s="9">
        <v>980</v>
      </c>
      <c r="EG77" s="5">
        <v>980</v>
      </c>
      <c r="EH77" s="5">
        <v>980</v>
      </c>
    </row>
    <row r="78" spans="3:138" s="5" customFormat="1" x14ac:dyDescent="0.25">
      <c r="C78" s="6"/>
      <c r="D78" s="6" t="s">
        <v>0</v>
      </c>
      <c r="E78" s="7"/>
      <c r="F78" s="8"/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950</v>
      </c>
      <c r="DL78" s="9">
        <v>950</v>
      </c>
      <c r="DM78" s="9">
        <v>950</v>
      </c>
      <c r="DN78" s="9">
        <v>950</v>
      </c>
      <c r="DO78" s="9">
        <v>950</v>
      </c>
      <c r="DP78" s="9">
        <v>950</v>
      </c>
      <c r="DQ78" s="9">
        <v>950</v>
      </c>
      <c r="DR78" s="9">
        <v>950</v>
      </c>
      <c r="DS78" s="9">
        <v>950</v>
      </c>
      <c r="DT78" s="9">
        <v>950</v>
      </c>
      <c r="DU78" s="9">
        <v>950</v>
      </c>
      <c r="DV78" s="9">
        <v>950</v>
      </c>
      <c r="DW78" s="9">
        <v>950</v>
      </c>
      <c r="DX78" s="9">
        <v>950</v>
      </c>
      <c r="DY78" s="9">
        <v>950</v>
      </c>
      <c r="DZ78" s="9">
        <v>950</v>
      </c>
      <c r="EA78" s="9">
        <v>950</v>
      </c>
      <c r="EB78" s="9">
        <v>950</v>
      </c>
      <c r="EC78" s="9">
        <v>950</v>
      </c>
      <c r="ED78" s="9">
        <v>950</v>
      </c>
      <c r="EE78" s="9">
        <v>950</v>
      </c>
      <c r="EF78" s="9">
        <v>950</v>
      </c>
      <c r="EG78" s="5">
        <v>950</v>
      </c>
      <c r="EH78" s="5">
        <v>950</v>
      </c>
    </row>
    <row r="79" spans="3:138" s="5" customFormat="1" x14ac:dyDescent="0.25">
      <c r="C79" s="6"/>
      <c r="D79" s="6" t="s">
        <v>0</v>
      </c>
      <c r="E79" s="7"/>
      <c r="F79" s="8"/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927</v>
      </c>
      <c r="DL79" s="9">
        <v>927</v>
      </c>
      <c r="DM79" s="9">
        <v>927</v>
      </c>
      <c r="DN79" s="9">
        <v>927</v>
      </c>
      <c r="DO79" s="9">
        <v>927</v>
      </c>
      <c r="DP79" s="9">
        <v>927</v>
      </c>
      <c r="DQ79" s="9">
        <v>927</v>
      </c>
      <c r="DR79" s="9">
        <v>927</v>
      </c>
      <c r="DS79" s="9">
        <v>927</v>
      </c>
      <c r="DT79" s="9">
        <v>927</v>
      </c>
      <c r="DU79" s="9">
        <v>927</v>
      </c>
      <c r="DV79" s="9">
        <v>927</v>
      </c>
      <c r="DW79" s="9">
        <v>927</v>
      </c>
      <c r="DX79" s="9">
        <v>927</v>
      </c>
      <c r="DY79" s="9">
        <v>927</v>
      </c>
      <c r="DZ79" s="9">
        <v>927</v>
      </c>
      <c r="EA79" s="9">
        <v>927</v>
      </c>
      <c r="EB79" s="9">
        <v>927</v>
      </c>
      <c r="EC79" s="9">
        <v>927</v>
      </c>
      <c r="ED79" s="9">
        <v>927</v>
      </c>
      <c r="EE79" s="9">
        <v>927</v>
      </c>
      <c r="EF79" s="9">
        <v>927</v>
      </c>
      <c r="EG79" s="5">
        <v>927</v>
      </c>
      <c r="EH79" s="5">
        <v>927</v>
      </c>
    </row>
    <row r="80" spans="3:138" s="5" customFormat="1" x14ac:dyDescent="0.25">
      <c r="C80" s="6"/>
      <c r="D80" s="6" t="s">
        <v>0</v>
      </c>
      <c r="E80" s="7"/>
      <c r="F80" s="8"/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738</v>
      </c>
      <c r="DL80" s="9">
        <v>738</v>
      </c>
      <c r="DM80" s="9">
        <v>738</v>
      </c>
      <c r="DN80" s="9">
        <v>738</v>
      </c>
      <c r="DO80" s="9">
        <v>738</v>
      </c>
      <c r="DP80" s="9">
        <v>738</v>
      </c>
      <c r="DQ80" s="9">
        <v>738</v>
      </c>
      <c r="DR80" s="9">
        <v>738</v>
      </c>
      <c r="DS80" s="9">
        <v>738</v>
      </c>
      <c r="DT80" s="9">
        <v>738</v>
      </c>
      <c r="DU80" s="9">
        <v>738</v>
      </c>
      <c r="DV80" s="9">
        <v>738</v>
      </c>
      <c r="DW80" s="9">
        <v>738</v>
      </c>
      <c r="DX80" s="9">
        <v>738</v>
      </c>
      <c r="DY80" s="9">
        <v>738</v>
      </c>
      <c r="DZ80" s="9">
        <v>738</v>
      </c>
      <c r="EA80" s="9">
        <v>738</v>
      </c>
      <c r="EB80" s="9">
        <v>738</v>
      </c>
      <c r="EC80" s="9">
        <v>738</v>
      </c>
      <c r="ED80" s="9">
        <v>738</v>
      </c>
      <c r="EE80" s="9">
        <v>738</v>
      </c>
      <c r="EF80" s="9">
        <v>738</v>
      </c>
      <c r="EG80" s="5">
        <v>738</v>
      </c>
      <c r="EH80" s="5">
        <v>738</v>
      </c>
    </row>
    <row r="81" spans="3:138" s="5" customFormat="1" x14ac:dyDescent="0.25">
      <c r="C81" s="6"/>
      <c r="D81" s="6" t="s">
        <v>0</v>
      </c>
      <c r="E81" s="7"/>
      <c r="F81" s="8"/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595</v>
      </c>
      <c r="DL81" s="9">
        <v>595</v>
      </c>
      <c r="DM81" s="9">
        <v>595</v>
      </c>
      <c r="DN81" s="9">
        <v>595</v>
      </c>
      <c r="DO81" s="9">
        <v>595</v>
      </c>
      <c r="DP81" s="9">
        <v>595</v>
      </c>
      <c r="DQ81" s="9">
        <v>595</v>
      </c>
      <c r="DR81" s="9">
        <v>595</v>
      </c>
      <c r="DS81" s="9">
        <v>595</v>
      </c>
      <c r="DT81" s="9">
        <v>595</v>
      </c>
      <c r="DU81" s="9">
        <v>595</v>
      </c>
      <c r="DV81" s="9">
        <v>595</v>
      </c>
      <c r="DW81" s="9">
        <v>595</v>
      </c>
      <c r="DX81" s="9">
        <v>595</v>
      </c>
      <c r="DY81" s="9">
        <v>595</v>
      </c>
      <c r="DZ81" s="9">
        <v>595</v>
      </c>
      <c r="EA81" s="9">
        <v>595</v>
      </c>
      <c r="EB81" s="9">
        <v>595</v>
      </c>
      <c r="EC81" s="9">
        <v>595</v>
      </c>
      <c r="ED81" s="9">
        <v>595</v>
      </c>
      <c r="EE81" s="9">
        <v>595</v>
      </c>
      <c r="EF81" s="9">
        <v>595</v>
      </c>
      <c r="EG81" s="5">
        <v>595</v>
      </c>
      <c r="EH81" s="5">
        <v>595</v>
      </c>
    </row>
    <row r="82" spans="3:138" s="5" customFormat="1" x14ac:dyDescent="0.25">
      <c r="C82" s="6"/>
      <c r="D82" s="6" t="s">
        <v>0</v>
      </c>
      <c r="E82" s="7"/>
      <c r="F82" s="8"/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540</v>
      </c>
      <c r="DL82" s="9">
        <v>540</v>
      </c>
      <c r="DM82" s="9">
        <v>540</v>
      </c>
      <c r="DN82" s="9">
        <v>540</v>
      </c>
      <c r="DO82" s="9">
        <v>540</v>
      </c>
      <c r="DP82" s="9">
        <v>540</v>
      </c>
      <c r="DQ82" s="9">
        <v>540</v>
      </c>
      <c r="DR82" s="9">
        <v>540</v>
      </c>
      <c r="DS82" s="9">
        <v>540</v>
      </c>
      <c r="DT82" s="9">
        <v>540</v>
      </c>
      <c r="DU82" s="9">
        <v>540</v>
      </c>
      <c r="DV82" s="9">
        <v>540</v>
      </c>
      <c r="DW82" s="9">
        <v>540</v>
      </c>
      <c r="DX82" s="9">
        <v>540</v>
      </c>
      <c r="DY82" s="9">
        <v>540</v>
      </c>
      <c r="DZ82" s="9">
        <v>540</v>
      </c>
      <c r="EA82" s="9">
        <v>540</v>
      </c>
      <c r="EB82" s="9">
        <v>540</v>
      </c>
      <c r="EC82" s="9">
        <v>540</v>
      </c>
      <c r="ED82" s="9">
        <v>540</v>
      </c>
      <c r="EE82" s="9">
        <v>540</v>
      </c>
      <c r="EF82" s="9">
        <v>540</v>
      </c>
      <c r="EG82" s="5">
        <v>540</v>
      </c>
      <c r="EH82" s="5">
        <v>540</v>
      </c>
    </row>
    <row r="83" spans="3:138" s="5" customFormat="1" x14ac:dyDescent="0.25">
      <c r="C83" s="6"/>
      <c r="D83" s="6" t="s">
        <v>0</v>
      </c>
      <c r="E83" s="7"/>
      <c r="F83" s="8"/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500</v>
      </c>
      <c r="DS83" s="9">
        <v>500</v>
      </c>
      <c r="DT83" s="9">
        <v>500</v>
      </c>
      <c r="DU83" s="9">
        <v>500</v>
      </c>
      <c r="DV83" s="9">
        <v>500</v>
      </c>
      <c r="DW83" s="9">
        <v>500</v>
      </c>
      <c r="DX83" s="9">
        <v>500</v>
      </c>
      <c r="DY83" s="9">
        <v>500</v>
      </c>
      <c r="DZ83" s="9">
        <v>500</v>
      </c>
      <c r="EA83" s="9">
        <v>500</v>
      </c>
      <c r="EB83" s="9">
        <v>500</v>
      </c>
      <c r="EC83" s="9">
        <v>500</v>
      </c>
      <c r="ED83" s="9">
        <v>500</v>
      </c>
      <c r="EE83" s="9">
        <v>500</v>
      </c>
      <c r="EF83" s="9">
        <v>500</v>
      </c>
      <c r="EG83" s="5">
        <v>500</v>
      </c>
      <c r="EH83" s="5">
        <v>500</v>
      </c>
    </row>
    <row r="84" spans="3:138" s="5" customFormat="1" x14ac:dyDescent="0.25">
      <c r="C84" s="6"/>
      <c r="D84" s="6" t="s">
        <v>0</v>
      </c>
      <c r="E84" s="7"/>
      <c r="F84" s="8"/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500</v>
      </c>
      <c r="DP84" s="9">
        <v>500</v>
      </c>
      <c r="DQ84" s="9">
        <v>500</v>
      </c>
      <c r="DR84" s="9">
        <v>500</v>
      </c>
      <c r="DS84" s="9">
        <v>500</v>
      </c>
      <c r="DT84" s="9">
        <v>500</v>
      </c>
      <c r="DU84" s="9">
        <v>500</v>
      </c>
      <c r="DV84" s="9">
        <v>0</v>
      </c>
      <c r="DW84" s="9">
        <v>500</v>
      </c>
      <c r="DX84" s="9">
        <v>500</v>
      </c>
      <c r="DY84" s="9">
        <v>500</v>
      </c>
      <c r="DZ84" s="9">
        <v>500</v>
      </c>
      <c r="EA84" s="9">
        <v>500</v>
      </c>
      <c r="EB84" s="9">
        <v>500</v>
      </c>
      <c r="EC84" s="9">
        <v>500</v>
      </c>
      <c r="ED84" s="9">
        <v>500</v>
      </c>
      <c r="EE84" s="9">
        <v>500</v>
      </c>
      <c r="EF84" s="9">
        <v>500</v>
      </c>
      <c r="EG84" s="5">
        <v>500</v>
      </c>
      <c r="EH84" s="5">
        <v>500</v>
      </c>
    </row>
    <row r="85" spans="3:138" s="5" customFormat="1" x14ac:dyDescent="0.25">
      <c r="C85" s="6"/>
      <c r="D85" s="6" t="s">
        <v>0</v>
      </c>
      <c r="E85" s="7"/>
      <c r="F85" s="8"/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450</v>
      </c>
      <c r="DL85" s="9">
        <v>450</v>
      </c>
      <c r="DM85" s="9">
        <v>450</v>
      </c>
      <c r="DN85" s="9">
        <v>450</v>
      </c>
      <c r="DO85" s="9">
        <v>450</v>
      </c>
      <c r="DP85" s="9">
        <v>450</v>
      </c>
      <c r="DQ85" s="9">
        <v>450</v>
      </c>
      <c r="DR85" s="9">
        <v>450</v>
      </c>
      <c r="DS85" s="9">
        <v>450</v>
      </c>
      <c r="DT85" s="9">
        <v>450</v>
      </c>
      <c r="DU85" s="9">
        <v>450</v>
      </c>
      <c r="DV85" s="9">
        <v>450</v>
      </c>
      <c r="DW85" s="9">
        <v>450</v>
      </c>
      <c r="DX85" s="9">
        <v>450</v>
      </c>
      <c r="DY85" s="9">
        <v>450</v>
      </c>
      <c r="DZ85" s="9">
        <v>450</v>
      </c>
      <c r="EA85" s="9">
        <v>450</v>
      </c>
      <c r="EB85" s="9">
        <v>450</v>
      </c>
      <c r="EC85" s="9">
        <v>450</v>
      </c>
      <c r="ED85" s="9">
        <v>450</v>
      </c>
      <c r="EE85" s="9">
        <v>450</v>
      </c>
      <c r="EF85" s="9">
        <v>450</v>
      </c>
      <c r="EG85" s="5">
        <v>450</v>
      </c>
      <c r="EH85" s="5">
        <v>450</v>
      </c>
    </row>
    <row r="86" spans="3:138" s="5" customFormat="1" x14ac:dyDescent="0.25">
      <c r="C86" s="6"/>
      <c r="D86" s="6" t="s">
        <v>0</v>
      </c>
      <c r="E86" s="7"/>
      <c r="F86" s="8"/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450</v>
      </c>
      <c r="DL86" s="9">
        <v>450</v>
      </c>
      <c r="DM86" s="9">
        <v>450</v>
      </c>
      <c r="DN86" s="9">
        <v>450</v>
      </c>
      <c r="DO86" s="9">
        <v>450</v>
      </c>
      <c r="DP86" s="9">
        <v>450</v>
      </c>
      <c r="DQ86" s="9">
        <v>450</v>
      </c>
      <c r="DR86" s="9">
        <v>450</v>
      </c>
      <c r="DS86" s="9">
        <v>450</v>
      </c>
      <c r="DT86" s="9">
        <v>450</v>
      </c>
      <c r="DU86" s="9">
        <v>450</v>
      </c>
      <c r="DV86" s="9">
        <v>450</v>
      </c>
      <c r="DW86" s="9">
        <v>450</v>
      </c>
      <c r="DX86" s="9">
        <v>450</v>
      </c>
      <c r="DY86" s="9">
        <v>450</v>
      </c>
      <c r="DZ86" s="9">
        <v>450</v>
      </c>
      <c r="EA86" s="9">
        <v>450</v>
      </c>
      <c r="EB86" s="9">
        <v>450</v>
      </c>
      <c r="EC86" s="9">
        <v>450</v>
      </c>
      <c r="ED86" s="9">
        <v>450</v>
      </c>
      <c r="EE86" s="9">
        <v>450</v>
      </c>
      <c r="EF86" s="9">
        <v>450</v>
      </c>
      <c r="EG86" s="5">
        <v>450</v>
      </c>
      <c r="EH86" s="5">
        <v>450</v>
      </c>
    </row>
    <row r="87" spans="3:138" s="5" customFormat="1" x14ac:dyDescent="0.25">
      <c r="C87" s="6"/>
      <c r="D87" s="6" t="s">
        <v>0</v>
      </c>
      <c r="E87" s="7"/>
      <c r="F87" s="8"/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450</v>
      </c>
      <c r="DL87" s="9">
        <v>450</v>
      </c>
      <c r="DM87" s="9">
        <v>450</v>
      </c>
      <c r="DN87" s="9">
        <v>450</v>
      </c>
      <c r="DO87" s="9">
        <v>450</v>
      </c>
      <c r="DP87" s="9">
        <v>450</v>
      </c>
      <c r="DQ87" s="9">
        <v>450</v>
      </c>
      <c r="DR87" s="9">
        <v>450</v>
      </c>
      <c r="DS87" s="9">
        <v>450</v>
      </c>
      <c r="DT87" s="9">
        <v>450</v>
      </c>
      <c r="DU87" s="9">
        <v>450</v>
      </c>
      <c r="DV87" s="9">
        <v>450</v>
      </c>
      <c r="DW87" s="9">
        <v>450</v>
      </c>
      <c r="DX87" s="9">
        <v>450</v>
      </c>
      <c r="DY87" s="9">
        <v>450</v>
      </c>
      <c r="DZ87" s="9">
        <v>450</v>
      </c>
      <c r="EA87" s="9">
        <v>450</v>
      </c>
      <c r="EB87" s="9">
        <v>450</v>
      </c>
      <c r="EC87" s="9">
        <v>450</v>
      </c>
      <c r="ED87" s="9">
        <v>450</v>
      </c>
      <c r="EE87" s="9">
        <v>450</v>
      </c>
      <c r="EF87" s="9">
        <v>450</v>
      </c>
      <c r="EG87" s="5">
        <v>450</v>
      </c>
      <c r="EH87" s="5">
        <v>450</v>
      </c>
    </row>
    <row r="88" spans="3:138" s="5" customFormat="1" x14ac:dyDescent="0.25">
      <c r="C88" s="6"/>
      <c r="D88" s="6" t="s">
        <v>0</v>
      </c>
      <c r="E88" s="7"/>
      <c r="F88" s="8"/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450</v>
      </c>
      <c r="DL88" s="9">
        <v>450</v>
      </c>
      <c r="DM88" s="9">
        <v>450</v>
      </c>
      <c r="DN88" s="9">
        <v>450</v>
      </c>
      <c r="DO88" s="9">
        <v>450</v>
      </c>
      <c r="DP88" s="9">
        <v>450</v>
      </c>
      <c r="DQ88" s="9">
        <v>450</v>
      </c>
      <c r="DR88" s="9">
        <v>450</v>
      </c>
      <c r="DS88" s="9">
        <v>450</v>
      </c>
      <c r="DT88" s="9">
        <v>450</v>
      </c>
      <c r="DU88" s="9">
        <v>450</v>
      </c>
      <c r="DV88" s="9">
        <v>450</v>
      </c>
      <c r="DW88" s="9">
        <v>450</v>
      </c>
      <c r="DX88" s="9">
        <v>450</v>
      </c>
      <c r="DY88" s="9">
        <v>450</v>
      </c>
      <c r="DZ88" s="9">
        <v>450</v>
      </c>
      <c r="EA88" s="9">
        <v>450</v>
      </c>
      <c r="EB88" s="9">
        <v>450</v>
      </c>
      <c r="EC88" s="9">
        <v>450</v>
      </c>
      <c r="ED88" s="9">
        <v>450</v>
      </c>
      <c r="EE88" s="9">
        <v>450</v>
      </c>
      <c r="EF88" s="9">
        <v>450</v>
      </c>
      <c r="EG88" s="5">
        <v>450</v>
      </c>
      <c r="EH88" s="5">
        <v>450</v>
      </c>
    </row>
    <row r="89" spans="3:138" s="5" customFormat="1" x14ac:dyDescent="0.25">
      <c r="C89" s="6"/>
      <c r="D89" s="6" t="s">
        <v>0</v>
      </c>
      <c r="E89" s="7"/>
      <c r="F89" s="8"/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450</v>
      </c>
      <c r="DN89" s="9">
        <v>450</v>
      </c>
      <c r="DO89" s="9">
        <v>450</v>
      </c>
      <c r="DP89" s="9">
        <v>450</v>
      </c>
      <c r="DQ89" s="9">
        <v>450</v>
      </c>
      <c r="DR89" s="9">
        <v>450</v>
      </c>
      <c r="DS89" s="9">
        <v>450</v>
      </c>
      <c r="DT89" s="9">
        <v>450</v>
      </c>
      <c r="DU89" s="9">
        <v>450</v>
      </c>
      <c r="DV89" s="9">
        <v>450</v>
      </c>
      <c r="DW89" s="9">
        <v>450</v>
      </c>
      <c r="DX89" s="9">
        <v>450</v>
      </c>
      <c r="DY89" s="9">
        <v>450</v>
      </c>
      <c r="DZ89" s="9">
        <v>450</v>
      </c>
      <c r="EA89" s="9">
        <v>450</v>
      </c>
      <c r="EB89" s="9">
        <v>450</v>
      </c>
      <c r="EC89" s="9">
        <v>450</v>
      </c>
      <c r="ED89" s="9">
        <v>450</v>
      </c>
      <c r="EE89" s="9">
        <v>450</v>
      </c>
      <c r="EF89" s="9">
        <v>450</v>
      </c>
      <c r="EG89" s="5">
        <v>450</v>
      </c>
      <c r="EH89" s="5">
        <v>450</v>
      </c>
    </row>
    <row r="90" spans="3:138" s="5" customFormat="1" x14ac:dyDescent="0.25">
      <c r="C90" s="6"/>
      <c r="D90" s="6" t="s">
        <v>0</v>
      </c>
      <c r="E90" s="7"/>
      <c r="F90" s="8"/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450</v>
      </c>
      <c r="DL90" s="9">
        <v>450</v>
      </c>
      <c r="DM90" s="9">
        <v>450</v>
      </c>
      <c r="DN90" s="9">
        <v>450</v>
      </c>
      <c r="DO90" s="9">
        <v>450</v>
      </c>
      <c r="DP90" s="9">
        <v>450</v>
      </c>
      <c r="DQ90" s="9">
        <v>450</v>
      </c>
      <c r="DR90" s="9">
        <v>450</v>
      </c>
      <c r="DS90" s="9">
        <v>450</v>
      </c>
      <c r="DT90" s="9">
        <v>450</v>
      </c>
      <c r="DU90" s="9">
        <v>450</v>
      </c>
      <c r="DV90" s="9">
        <v>450</v>
      </c>
      <c r="DW90" s="9">
        <v>450</v>
      </c>
      <c r="DX90" s="9">
        <v>450</v>
      </c>
      <c r="DY90" s="9">
        <v>450</v>
      </c>
      <c r="DZ90" s="9">
        <v>450</v>
      </c>
      <c r="EA90" s="9">
        <v>450</v>
      </c>
      <c r="EB90" s="9">
        <v>450</v>
      </c>
      <c r="EC90" s="9">
        <v>450</v>
      </c>
      <c r="ED90" s="9">
        <v>450</v>
      </c>
      <c r="EE90" s="9">
        <v>450</v>
      </c>
      <c r="EF90" s="9">
        <v>450</v>
      </c>
      <c r="EG90" s="5">
        <v>450</v>
      </c>
      <c r="EH90" s="5">
        <v>450</v>
      </c>
    </row>
    <row r="91" spans="3:138" s="5" customFormat="1" x14ac:dyDescent="0.25">
      <c r="C91" s="6"/>
      <c r="D91" s="6" t="s">
        <v>0</v>
      </c>
      <c r="E91" s="7"/>
      <c r="F91" s="8"/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450</v>
      </c>
      <c r="DL91" s="9">
        <v>450</v>
      </c>
      <c r="DM91" s="9">
        <v>450</v>
      </c>
      <c r="DN91" s="9">
        <v>450</v>
      </c>
      <c r="DO91" s="9">
        <v>450</v>
      </c>
      <c r="DP91" s="9">
        <v>450</v>
      </c>
      <c r="DQ91" s="9">
        <v>450</v>
      </c>
      <c r="DR91" s="9">
        <v>450</v>
      </c>
      <c r="DS91" s="9">
        <v>450</v>
      </c>
      <c r="DT91" s="9">
        <v>450</v>
      </c>
      <c r="DU91" s="9">
        <v>450</v>
      </c>
      <c r="DV91" s="9">
        <v>450</v>
      </c>
      <c r="DW91" s="9">
        <v>450</v>
      </c>
      <c r="DX91" s="9">
        <v>450</v>
      </c>
      <c r="DY91" s="9">
        <v>450</v>
      </c>
      <c r="DZ91" s="9">
        <v>450</v>
      </c>
      <c r="EA91" s="9">
        <v>450</v>
      </c>
      <c r="EB91" s="9">
        <v>450</v>
      </c>
      <c r="EC91" s="9">
        <v>450</v>
      </c>
      <c r="ED91" s="9">
        <v>450</v>
      </c>
      <c r="EE91" s="9">
        <v>450</v>
      </c>
      <c r="EF91" s="9">
        <v>450</v>
      </c>
      <c r="EG91" s="5">
        <v>450</v>
      </c>
      <c r="EH91" s="5">
        <v>450</v>
      </c>
    </row>
    <row r="92" spans="3:138" s="5" customFormat="1" x14ac:dyDescent="0.25">
      <c r="C92" s="6"/>
      <c r="D92" s="6" t="s">
        <v>0</v>
      </c>
      <c r="E92" s="7"/>
      <c r="F92" s="8"/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450</v>
      </c>
      <c r="DL92" s="9">
        <v>450</v>
      </c>
      <c r="DM92" s="9">
        <v>450</v>
      </c>
      <c r="DN92" s="9">
        <v>450</v>
      </c>
      <c r="DO92" s="9">
        <v>450</v>
      </c>
      <c r="DP92" s="9">
        <v>450</v>
      </c>
      <c r="DQ92" s="9">
        <v>450</v>
      </c>
      <c r="DR92" s="9">
        <v>450</v>
      </c>
      <c r="DS92" s="9">
        <v>450</v>
      </c>
      <c r="DT92" s="9">
        <v>450</v>
      </c>
      <c r="DU92" s="9">
        <v>450</v>
      </c>
      <c r="DV92" s="9">
        <v>450</v>
      </c>
      <c r="DW92" s="9">
        <v>450</v>
      </c>
      <c r="DX92" s="9">
        <v>450</v>
      </c>
      <c r="DY92" s="9">
        <v>450</v>
      </c>
      <c r="DZ92" s="9">
        <v>450</v>
      </c>
      <c r="EA92" s="9">
        <v>450</v>
      </c>
      <c r="EB92" s="9">
        <v>450</v>
      </c>
      <c r="EC92" s="9">
        <v>450</v>
      </c>
      <c r="ED92" s="9">
        <v>450</v>
      </c>
      <c r="EE92" s="9">
        <v>450</v>
      </c>
      <c r="EF92" s="9">
        <v>450</v>
      </c>
      <c r="EG92" s="5">
        <v>450</v>
      </c>
      <c r="EH92" s="5">
        <v>450</v>
      </c>
    </row>
    <row r="93" spans="3:138" s="5" customFormat="1" x14ac:dyDescent="0.25">
      <c r="C93" s="6"/>
      <c r="D93" s="6" t="s">
        <v>0</v>
      </c>
      <c r="E93" s="7"/>
      <c r="F93" s="8"/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450</v>
      </c>
      <c r="DL93" s="9">
        <v>450</v>
      </c>
      <c r="DM93" s="9">
        <v>450</v>
      </c>
      <c r="DN93" s="9">
        <v>450</v>
      </c>
      <c r="DO93" s="9">
        <v>450</v>
      </c>
      <c r="DP93" s="9">
        <v>450</v>
      </c>
      <c r="DQ93" s="9">
        <v>450</v>
      </c>
      <c r="DR93" s="9">
        <v>450</v>
      </c>
      <c r="DS93" s="9">
        <v>450</v>
      </c>
      <c r="DT93" s="9">
        <v>450</v>
      </c>
      <c r="DU93" s="9">
        <v>450</v>
      </c>
      <c r="DV93" s="9">
        <v>450</v>
      </c>
      <c r="DW93" s="9">
        <v>450</v>
      </c>
      <c r="DX93" s="9">
        <v>450</v>
      </c>
      <c r="DY93" s="9">
        <v>450</v>
      </c>
      <c r="DZ93" s="9">
        <v>450</v>
      </c>
      <c r="EA93" s="9">
        <v>450</v>
      </c>
      <c r="EB93" s="9">
        <v>450</v>
      </c>
      <c r="EC93" s="9">
        <v>450</v>
      </c>
      <c r="ED93" s="9">
        <v>450</v>
      </c>
      <c r="EE93" s="9">
        <v>450</v>
      </c>
      <c r="EF93" s="9">
        <v>450</v>
      </c>
      <c r="EG93" s="5">
        <v>450</v>
      </c>
      <c r="EH93" s="5">
        <v>450</v>
      </c>
    </row>
    <row r="94" spans="3:138" s="5" customFormat="1" x14ac:dyDescent="0.25">
      <c r="C94" s="6"/>
      <c r="D94" s="6" t="s">
        <v>0</v>
      </c>
      <c r="E94" s="7"/>
      <c r="F94" s="8"/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450</v>
      </c>
      <c r="DR94" s="9">
        <v>450</v>
      </c>
      <c r="DS94" s="9">
        <v>450</v>
      </c>
      <c r="DT94" s="9">
        <v>450</v>
      </c>
      <c r="DU94" s="9">
        <v>450</v>
      </c>
      <c r="DV94" s="9">
        <v>450</v>
      </c>
      <c r="DW94" s="9">
        <v>450</v>
      </c>
      <c r="DX94" s="9">
        <v>450</v>
      </c>
      <c r="DY94" s="9">
        <v>450</v>
      </c>
      <c r="DZ94" s="9">
        <v>450</v>
      </c>
      <c r="EA94" s="9">
        <v>450</v>
      </c>
      <c r="EB94" s="9">
        <v>450</v>
      </c>
      <c r="EC94" s="9">
        <v>450</v>
      </c>
      <c r="ED94" s="9">
        <v>450</v>
      </c>
      <c r="EE94" s="9">
        <v>450</v>
      </c>
      <c r="EF94" s="9">
        <v>450</v>
      </c>
      <c r="EG94" s="5">
        <v>450</v>
      </c>
      <c r="EH94" s="5">
        <v>450</v>
      </c>
    </row>
    <row r="95" spans="3:138" s="5" customFormat="1" x14ac:dyDescent="0.25">
      <c r="C95" s="6"/>
      <c r="D95" s="6" t="s">
        <v>0</v>
      </c>
      <c r="E95" s="7"/>
      <c r="F95" s="8"/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450</v>
      </c>
      <c r="DO95" s="9">
        <v>450</v>
      </c>
      <c r="DP95" s="9">
        <v>450</v>
      </c>
      <c r="DQ95" s="9">
        <v>450</v>
      </c>
      <c r="DR95" s="9">
        <v>450</v>
      </c>
      <c r="DS95" s="9">
        <v>450</v>
      </c>
      <c r="DT95" s="9">
        <v>450</v>
      </c>
      <c r="DU95" s="9">
        <v>450</v>
      </c>
      <c r="DV95" s="9">
        <v>450</v>
      </c>
      <c r="DW95" s="9">
        <v>450</v>
      </c>
      <c r="DX95" s="9">
        <v>450</v>
      </c>
      <c r="DY95" s="9">
        <v>450</v>
      </c>
      <c r="DZ95" s="9">
        <v>450</v>
      </c>
      <c r="EA95" s="9">
        <v>450</v>
      </c>
      <c r="EB95" s="9">
        <v>450</v>
      </c>
      <c r="EC95" s="9">
        <v>450</v>
      </c>
      <c r="ED95" s="9">
        <v>450</v>
      </c>
      <c r="EE95" s="9">
        <v>450</v>
      </c>
      <c r="EF95" s="9">
        <v>450</v>
      </c>
      <c r="EG95" s="5">
        <v>450</v>
      </c>
      <c r="EH95" s="5">
        <v>450</v>
      </c>
    </row>
    <row r="96" spans="3:138" s="5" customFormat="1" x14ac:dyDescent="0.25">
      <c r="C96" s="6"/>
      <c r="D96" s="6" t="s">
        <v>0</v>
      </c>
      <c r="E96" s="7"/>
      <c r="F96" s="8"/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450</v>
      </c>
      <c r="DT96" s="9">
        <v>450</v>
      </c>
      <c r="DU96" s="9">
        <v>450</v>
      </c>
      <c r="DV96" s="9">
        <v>450</v>
      </c>
      <c r="DW96" s="9">
        <v>450</v>
      </c>
      <c r="DX96" s="9">
        <v>450</v>
      </c>
      <c r="DY96" s="9">
        <v>450</v>
      </c>
      <c r="DZ96" s="9">
        <v>450</v>
      </c>
      <c r="EA96" s="9">
        <v>450</v>
      </c>
      <c r="EB96" s="9">
        <v>450</v>
      </c>
      <c r="EC96" s="9">
        <v>450</v>
      </c>
      <c r="ED96" s="9">
        <v>450</v>
      </c>
      <c r="EE96" s="9">
        <v>450</v>
      </c>
      <c r="EF96" s="9">
        <v>450</v>
      </c>
      <c r="EG96" s="5">
        <v>450</v>
      </c>
      <c r="EH96" s="5">
        <v>450</v>
      </c>
    </row>
    <row r="97" spans="3:138" s="5" customFormat="1" x14ac:dyDescent="0.25">
      <c r="C97" s="6"/>
      <c r="D97" s="6" t="s">
        <v>0</v>
      </c>
      <c r="E97" s="7"/>
      <c r="F97" s="8"/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450</v>
      </c>
      <c r="DS97" s="9">
        <v>450</v>
      </c>
      <c r="DT97" s="9">
        <v>450</v>
      </c>
      <c r="DU97" s="9">
        <v>450</v>
      </c>
      <c r="DV97" s="9">
        <v>450</v>
      </c>
      <c r="DW97" s="9">
        <v>450</v>
      </c>
      <c r="DX97" s="9">
        <v>450</v>
      </c>
      <c r="DY97" s="9">
        <v>450</v>
      </c>
      <c r="DZ97" s="9">
        <v>450</v>
      </c>
      <c r="EA97" s="9">
        <v>450</v>
      </c>
      <c r="EB97" s="9">
        <v>450</v>
      </c>
      <c r="EC97" s="9">
        <v>450</v>
      </c>
      <c r="ED97" s="9">
        <v>450</v>
      </c>
      <c r="EE97" s="9">
        <v>450</v>
      </c>
      <c r="EF97" s="9">
        <v>450</v>
      </c>
      <c r="EG97" s="5">
        <v>450</v>
      </c>
      <c r="EH97" s="5">
        <v>450</v>
      </c>
    </row>
    <row r="98" spans="3:138" s="5" customFormat="1" x14ac:dyDescent="0.25">
      <c r="C98" s="6"/>
      <c r="D98" s="6" t="s">
        <v>0</v>
      </c>
      <c r="E98" s="7"/>
      <c r="F98" s="8"/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450</v>
      </c>
      <c r="DR98" s="9">
        <v>450</v>
      </c>
      <c r="DS98" s="9">
        <v>450</v>
      </c>
      <c r="DT98" s="9">
        <v>450</v>
      </c>
      <c r="DU98" s="9">
        <v>450</v>
      </c>
      <c r="DV98" s="9">
        <v>450</v>
      </c>
      <c r="DW98" s="9">
        <v>450</v>
      </c>
      <c r="DX98" s="9">
        <v>450</v>
      </c>
      <c r="DY98" s="9">
        <v>450</v>
      </c>
      <c r="DZ98" s="9">
        <v>450</v>
      </c>
      <c r="EA98" s="9">
        <v>450</v>
      </c>
      <c r="EB98" s="9">
        <v>450</v>
      </c>
      <c r="EC98" s="9">
        <v>450</v>
      </c>
      <c r="ED98" s="9">
        <v>450</v>
      </c>
      <c r="EE98" s="9">
        <v>450</v>
      </c>
      <c r="EF98" s="9">
        <v>450</v>
      </c>
      <c r="EG98" s="5">
        <v>450</v>
      </c>
      <c r="EH98" s="5">
        <v>450</v>
      </c>
    </row>
    <row r="99" spans="3:138" s="5" customFormat="1" x14ac:dyDescent="0.25">
      <c r="C99" s="6"/>
      <c r="D99" s="6" t="s">
        <v>0</v>
      </c>
      <c r="E99" s="7"/>
      <c r="F99" s="8"/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450</v>
      </c>
      <c r="DQ99" s="9">
        <v>450</v>
      </c>
      <c r="DR99" s="9">
        <v>450</v>
      </c>
      <c r="DS99" s="9">
        <v>450</v>
      </c>
      <c r="DT99" s="9">
        <v>450</v>
      </c>
      <c r="DU99" s="9">
        <v>450</v>
      </c>
      <c r="DV99" s="9">
        <v>450</v>
      </c>
      <c r="DW99" s="9">
        <v>450</v>
      </c>
      <c r="DX99" s="9">
        <v>450</v>
      </c>
      <c r="DY99" s="9">
        <v>450</v>
      </c>
      <c r="DZ99" s="9">
        <v>450</v>
      </c>
      <c r="EA99" s="9">
        <v>450</v>
      </c>
      <c r="EB99" s="9">
        <v>450</v>
      </c>
      <c r="EC99" s="9">
        <v>450</v>
      </c>
      <c r="ED99" s="9">
        <v>450</v>
      </c>
      <c r="EE99" s="9">
        <v>450</v>
      </c>
      <c r="EF99" s="9">
        <v>450</v>
      </c>
      <c r="EG99" s="5">
        <v>450</v>
      </c>
      <c r="EH99" s="5">
        <v>450</v>
      </c>
    </row>
    <row r="100" spans="3:138" s="5" customFormat="1" x14ac:dyDescent="0.25">
      <c r="C100" s="6"/>
      <c r="D100" s="6" t="s">
        <v>0</v>
      </c>
      <c r="E100" s="7"/>
      <c r="F100" s="8"/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450</v>
      </c>
      <c r="DQ100" s="9">
        <v>450</v>
      </c>
      <c r="DR100" s="9">
        <v>450</v>
      </c>
      <c r="DS100" s="9">
        <v>450</v>
      </c>
      <c r="DT100" s="9">
        <v>450</v>
      </c>
      <c r="DU100" s="9">
        <v>450</v>
      </c>
      <c r="DV100" s="9">
        <v>450</v>
      </c>
      <c r="DW100" s="9">
        <v>450</v>
      </c>
      <c r="DX100" s="9">
        <v>450</v>
      </c>
      <c r="DY100" s="9">
        <v>450</v>
      </c>
      <c r="DZ100" s="9">
        <v>450</v>
      </c>
      <c r="EA100" s="9">
        <v>450</v>
      </c>
      <c r="EB100" s="9">
        <v>450</v>
      </c>
      <c r="EC100" s="9">
        <v>450</v>
      </c>
      <c r="ED100" s="9">
        <v>450</v>
      </c>
      <c r="EE100" s="9">
        <v>450</v>
      </c>
      <c r="EF100" s="9">
        <v>450</v>
      </c>
      <c r="EG100" s="5">
        <v>450</v>
      </c>
      <c r="EH100" s="5">
        <v>450</v>
      </c>
    </row>
    <row r="101" spans="3:138" s="5" customFormat="1" x14ac:dyDescent="0.25">
      <c r="C101" s="6"/>
      <c r="D101" s="6" t="s">
        <v>0</v>
      </c>
      <c r="E101" s="7"/>
      <c r="F101" s="8"/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450</v>
      </c>
      <c r="DO101" s="9">
        <v>450</v>
      </c>
      <c r="DP101" s="9">
        <v>450</v>
      </c>
      <c r="DQ101" s="9">
        <v>450</v>
      </c>
      <c r="DR101" s="9">
        <v>450</v>
      </c>
      <c r="DS101" s="9">
        <v>450</v>
      </c>
      <c r="DT101" s="9">
        <v>450</v>
      </c>
      <c r="DU101" s="9">
        <v>450</v>
      </c>
      <c r="DV101" s="9">
        <v>450</v>
      </c>
      <c r="DW101" s="9">
        <v>450</v>
      </c>
      <c r="DX101" s="9">
        <v>450</v>
      </c>
      <c r="DY101" s="9">
        <v>450</v>
      </c>
      <c r="DZ101" s="9">
        <v>450</v>
      </c>
      <c r="EA101" s="9">
        <v>450</v>
      </c>
      <c r="EB101" s="9">
        <v>450</v>
      </c>
      <c r="EC101" s="9">
        <v>450</v>
      </c>
      <c r="ED101" s="9">
        <v>450</v>
      </c>
      <c r="EE101" s="9">
        <v>450</v>
      </c>
      <c r="EF101" s="9">
        <v>450</v>
      </c>
      <c r="EG101" s="5">
        <v>450</v>
      </c>
      <c r="EH101" s="5">
        <v>450</v>
      </c>
    </row>
    <row r="102" spans="3:138" s="5" customFormat="1" x14ac:dyDescent="0.25">
      <c r="C102" s="6"/>
      <c r="D102" s="6" t="s">
        <v>0</v>
      </c>
      <c r="E102" s="7"/>
      <c r="F102" s="8"/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450</v>
      </c>
      <c r="DR102" s="9">
        <v>450</v>
      </c>
      <c r="DS102" s="9">
        <v>450</v>
      </c>
      <c r="DT102" s="9">
        <v>450</v>
      </c>
      <c r="DU102" s="9">
        <v>450</v>
      </c>
      <c r="DV102" s="9">
        <v>450</v>
      </c>
      <c r="DW102" s="9">
        <v>450</v>
      </c>
      <c r="DX102" s="9">
        <v>450</v>
      </c>
      <c r="DY102" s="9">
        <v>450</v>
      </c>
      <c r="DZ102" s="9">
        <v>450</v>
      </c>
      <c r="EA102" s="9">
        <v>450</v>
      </c>
      <c r="EB102" s="9">
        <v>450</v>
      </c>
      <c r="EC102" s="9">
        <v>450</v>
      </c>
      <c r="ED102" s="9">
        <v>450</v>
      </c>
      <c r="EE102" s="9">
        <v>450</v>
      </c>
      <c r="EF102" s="9">
        <v>450</v>
      </c>
      <c r="EG102" s="5">
        <v>450</v>
      </c>
      <c r="EH102" s="5">
        <v>450</v>
      </c>
    </row>
    <row r="103" spans="3:138" s="5" customFormat="1" x14ac:dyDescent="0.25">
      <c r="C103" s="6"/>
      <c r="D103" s="6" t="s">
        <v>0</v>
      </c>
      <c r="E103" s="7"/>
      <c r="F103" s="8"/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450</v>
      </c>
      <c r="DO103" s="9">
        <v>450</v>
      </c>
      <c r="DP103" s="9">
        <v>450</v>
      </c>
      <c r="DQ103" s="9">
        <v>450</v>
      </c>
      <c r="DR103" s="9">
        <v>450</v>
      </c>
      <c r="DS103" s="9">
        <v>450</v>
      </c>
      <c r="DT103" s="9">
        <v>450</v>
      </c>
      <c r="DU103" s="9">
        <v>450</v>
      </c>
      <c r="DV103" s="9">
        <v>450</v>
      </c>
      <c r="DW103" s="9">
        <v>450</v>
      </c>
      <c r="DX103" s="9">
        <v>450</v>
      </c>
      <c r="DY103" s="9">
        <v>450</v>
      </c>
      <c r="DZ103" s="9">
        <v>450</v>
      </c>
      <c r="EA103" s="9">
        <v>450</v>
      </c>
      <c r="EB103" s="9">
        <v>450</v>
      </c>
      <c r="EC103" s="9">
        <v>450</v>
      </c>
      <c r="ED103" s="9">
        <v>450</v>
      </c>
      <c r="EE103" s="9">
        <v>450</v>
      </c>
      <c r="EF103" s="9">
        <v>450</v>
      </c>
      <c r="EG103" s="5">
        <v>450</v>
      </c>
      <c r="EH103" s="5">
        <v>450</v>
      </c>
    </row>
    <row r="104" spans="3:138" s="5" customFormat="1" x14ac:dyDescent="0.25">
      <c r="C104" s="6"/>
      <c r="D104" s="6" t="s">
        <v>0</v>
      </c>
      <c r="E104" s="7"/>
      <c r="F104" s="8"/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450</v>
      </c>
      <c r="DR104" s="9">
        <v>450</v>
      </c>
      <c r="DS104" s="9">
        <v>450</v>
      </c>
      <c r="DT104" s="9">
        <v>450</v>
      </c>
      <c r="DU104" s="9">
        <v>450</v>
      </c>
      <c r="DV104" s="9">
        <v>450</v>
      </c>
      <c r="DW104" s="9">
        <v>450</v>
      </c>
      <c r="DX104" s="9">
        <v>450</v>
      </c>
      <c r="DY104" s="9">
        <v>450</v>
      </c>
      <c r="DZ104" s="9">
        <v>450</v>
      </c>
      <c r="EA104" s="9">
        <v>450</v>
      </c>
      <c r="EB104" s="9">
        <v>450</v>
      </c>
      <c r="EC104" s="9">
        <v>450</v>
      </c>
      <c r="ED104" s="9">
        <v>450</v>
      </c>
      <c r="EE104" s="9">
        <v>450</v>
      </c>
      <c r="EF104" s="9">
        <v>450</v>
      </c>
      <c r="EG104" s="5">
        <v>450</v>
      </c>
      <c r="EH104" s="5">
        <v>450</v>
      </c>
    </row>
    <row r="105" spans="3:138" s="5" customFormat="1" x14ac:dyDescent="0.25">
      <c r="C105" s="6"/>
      <c r="D105" s="6" t="s">
        <v>0</v>
      </c>
      <c r="E105" s="7"/>
      <c r="F105" s="8"/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450</v>
      </c>
      <c r="DQ105" s="9">
        <v>450</v>
      </c>
      <c r="DR105" s="9">
        <v>450</v>
      </c>
      <c r="DS105" s="9">
        <v>450</v>
      </c>
      <c r="DT105" s="9">
        <v>450</v>
      </c>
      <c r="DU105" s="9">
        <v>450</v>
      </c>
      <c r="DV105" s="9">
        <v>450</v>
      </c>
      <c r="DW105" s="9">
        <v>450</v>
      </c>
      <c r="DX105" s="9">
        <v>450</v>
      </c>
      <c r="DY105" s="9">
        <v>450</v>
      </c>
      <c r="DZ105" s="9">
        <v>450</v>
      </c>
      <c r="EA105" s="9">
        <v>450</v>
      </c>
      <c r="EB105" s="9">
        <v>450</v>
      </c>
      <c r="EC105" s="9">
        <v>450</v>
      </c>
      <c r="ED105" s="9">
        <v>450</v>
      </c>
      <c r="EE105" s="9">
        <v>450</v>
      </c>
      <c r="EF105" s="9">
        <v>450</v>
      </c>
      <c r="EG105" s="5">
        <v>450</v>
      </c>
      <c r="EH105" s="5">
        <v>450</v>
      </c>
    </row>
    <row r="106" spans="3:138" s="5" customFormat="1" x14ac:dyDescent="0.25">
      <c r="C106" s="6"/>
      <c r="D106" s="6" t="s">
        <v>0</v>
      </c>
      <c r="E106" s="7"/>
      <c r="F106" s="8"/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450</v>
      </c>
      <c r="DS106" s="9">
        <v>450</v>
      </c>
      <c r="DT106" s="9">
        <v>450</v>
      </c>
      <c r="DU106" s="9">
        <v>450</v>
      </c>
      <c r="DV106" s="9">
        <v>450</v>
      </c>
      <c r="DW106" s="9">
        <v>450</v>
      </c>
      <c r="DX106" s="9">
        <v>450</v>
      </c>
      <c r="DY106" s="9">
        <v>450</v>
      </c>
      <c r="DZ106" s="9">
        <v>450</v>
      </c>
      <c r="EA106" s="9">
        <v>450</v>
      </c>
      <c r="EB106" s="9">
        <v>450</v>
      </c>
      <c r="EC106" s="9">
        <v>450</v>
      </c>
      <c r="ED106" s="9">
        <v>450</v>
      </c>
      <c r="EE106" s="9">
        <v>450</v>
      </c>
      <c r="EF106" s="9">
        <v>450</v>
      </c>
      <c r="EG106" s="5">
        <v>450</v>
      </c>
      <c r="EH106" s="5">
        <v>450</v>
      </c>
    </row>
    <row r="107" spans="3:138" s="5" customFormat="1" x14ac:dyDescent="0.25">
      <c r="C107" s="6"/>
      <c r="D107" s="6" t="s">
        <v>0</v>
      </c>
      <c r="E107" s="7"/>
      <c r="F107" s="8"/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427.5</v>
      </c>
      <c r="DL107" s="9">
        <v>427.5</v>
      </c>
      <c r="DM107" s="9">
        <v>427.5</v>
      </c>
      <c r="DN107" s="9">
        <v>427.5</v>
      </c>
      <c r="DO107" s="9">
        <v>427.5</v>
      </c>
      <c r="DP107" s="9">
        <v>427.5</v>
      </c>
      <c r="DQ107" s="9">
        <v>427.5</v>
      </c>
      <c r="DR107" s="9">
        <v>427.5</v>
      </c>
      <c r="DS107" s="9">
        <v>427.5</v>
      </c>
      <c r="DT107" s="9">
        <v>427.5</v>
      </c>
      <c r="DU107" s="9">
        <v>427.5</v>
      </c>
      <c r="DV107" s="9">
        <v>427.5</v>
      </c>
      <c r="DW107" s="9">
        <v>427.5</v>
      </c>
      <c r="DX107" s="9">
        <v>427.5</v>
      </c>
      <c r="DY107" s="9">
        <v>427.5</v>
      </c>
      <c r="DZ107" s="9">
        <v>427.5</v>
      </c>
      <c r="EA107" s="9">
        <v>427.5</v>
      </c>
      <c r="EB107" s="9">
        <v>427.5</v>
      </c>
      <c r="EC107" s="9">
        <v>427.5</v>
      </c>
      <c r="ED107" s="9">
        <v>427.5</v>
      </c>
      <c r="EE107" s="9">
        <v>427.5</v>
      </c>
      <c r="EF107" s="9">
        <v>427.5</v>
      </c>
      <c r="EG107" s="5">
        <v>427.5</v>
      </c>
      <c r="EH107" s="5">
        <v>427.5</v>
      </c>
    </row>
    <row r="108" spans="3:138" s="5" customFormat="1" x14ac:dyDescent="0.25">
      <c r="C108" s="6"/>
      <c r="D108" s="6" t="s">
        <v>0</v>
      </c>
      <c r="E108" s="7"/>
      <c r="F108" s="8"/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427.5</v>
      </c>
      <c r="DN108" s="9">
        <v>427.5</v>
      </c>
      <c r="DO108" s="9">
        <v>427.5</v>
      </c>
      <c r="DP108" s="9">
        <v>427.5</v>
      </c>
      <c r="DQ108" s="9">
        <v>427.5</v>
      </c>
      <c r="DR108" s="9">
        <v>427.5</v>
      </c>
      <c r="DS108" s="9">
        <v>427.5</v>
      </c>
      <c r="DT108" s="9">
        <v>427.5</v>
      </c>
      <c r="DU108" s="9">
        <v>427.5</v>
      </c>
      <c r="DV108" s="9">
        <v>427.5</v>
      </c>
      <c r="DW108" s="9">
        <v>427.5</v>
      </c>
      <c r="DX108" s="9">
        <v>427.5</v>
      </c>
      <c r="DY108" s="9">
        <v>427.5</v>
      </c>
      <c r="DZ108" s="9">
        <v>427.5</v>
      </c>
      <c r="EA108" s="9">
        <v>427.5</v>
      </c>
      <c r="EB108" s="9">
        <v>427.5</v>
      </c>
      <c r="EC108" s="9">
        <v>427.5</v>
      </c>
      <c r="ED108" s="9">
        <v>427.5</v>
      </c>
      <c r="EE108" s="9">
        <v>427.5</v>
      </c>
      <c r="EF108" s="9">
        <v>427.5</v>
      </c>
      <c r="EG108" s="5">
        <v>427.5</v>
      </c>
      <c r="EH108" s="5">
        <v>427.5</v>
      </c>
    </row>
    <row r="109" spans="3:138" s="5" customFormat="1" x14ac:dyDescent="0.25">
      <c r="C109" s="6"/>
      <c r="D109" s="6" t="s">
        <v>0</v>
      </c>
      <c r="E109" s="7"/>
      <c r="F109" s="8"/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427.5</v>
      </c>
      <c r="DL109" s="9">
        <v>427.5</v>
      </c>
      <c r="DM109" s="9">
        <v>427.5</v>
      </c>
      <c r="DN109" s="9">
        <v>427.5</v>
      </c>
      <c r="DO109" s="9">
        <v>427.5</v>
      </c>
      <c r="DP109" s="9">
        <v>427.5</v>
      </c>
      <c r="DQ109" s="9">
        <v>427.5</v>
      </c>
      <c r="DR109" s="9">
        <v>427.5</v>
      </c>
      <c r="DS109" s="9">
        <v>427.5</v>
      </c>
      <c r="DT109" s="9">
        <v>427.5</v>
      </c>
      <c r="DU109" s="9">
        <v>427.5</v>
      </c>
      <c r="DV109" s="9">
        <v>427.5</v>
      </c>
      <c r="DW109" s="9">
        <v>427.5</v>
      </c>
      <c r="DX109" s="9">
        <v>427.5</v>
      </c>
      <c r="DY109" s="9">
        <v>427.5</v>
      </c>
      <c r="DZ109" s="9">
        <v>427.5</v>
      </c>
      <c r="EA109" s="9">
        <v>427.5</v>
      </c>
      <c r="EB109" s="9">
        <v>427.5</v>
      </c>
      <c r="EC109" s="9">
        <v>427.5</v>
      </c>
      <c r="ED109" s="9">
        <v>427.5</v>
      </c>
      <c r="EE109" s="9">
        <v>427.5</v>
      </c>
      <c r="EF109" s="9">
        <v>427.5</v>
      </c>
      <c r="EG109" s="5">
        <v>427.5</v>
      </c>
      <c r="EH109" s="5">
        <v>427.5</v>
      </c>
    </row>
    <row r="110" spans="3:138" s="5" customFormat="1" x14ac:dyDescent="0.25">
      <c r="C110" s="6"/>
      <c r="D110" s="6" t="s">
        <v>0</v>
      </c>
      <c r="E110" s="7"/>
      <c r="F110" s="8"/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427.5</v>
      </c>
      <c r="DL110" s="9">
        <v>427.5</v>
      </c>
      <c r="DM110" s="9">
        <v>427.5</v>
      </c>
      <c r="DN110" s="9">
        <v>427.5</v>
      </c>
      <c r="DO110" s="9">
        <v>427.5</v>
      </c>
      <c r="DP110" s="9">
        <v>427.5</v>
      </c>
      <c r="DQ110" s="9">
        <v>427.5</v>
      </c>
      <c r="DR110" s="9">
        <v>427.5</v>
      </c>
      <c r="DS110" s="9">
        <v>427.5</v>
      </c>
      <c r="DT110" s="9">
        <v>427.5</v>
      </c>
      <c r="DU110" s="9">
        <v>427.5</v>
      </c>
      <c r="DV110" s="9">
        <v>427.5</v>
      </c>
      <c r="DW110" s="9">
        <v>427.5</v>
      </c>
      <c r="DX110" s="9">
        <v>427.5</v>
      </c>
      <c r="DY110" s="9">
        <v>427.5</v>
      </c>
      <c r="DZ110" s="9">
        <v>427.5</v>
      </c>
      <c r="EA110" s="9">
        <v>427.5</v>
      </c>
      <c r="EB110" s="9">
        <v>427.5</v>
      </c>
      <c r="EC110" s="9">
        <v>427.5</v>
      </c>
      <c r="ED110" s="9">
        <v>427.5</v>
      </c>
      <c r="EE110" s="9">
        <v>427.5</v>
      </c>
      <c r="EF110" s="9">
        <v>427.5</v>
      </c>
      <c r="EG110" s="5">
        <v>427.5</v>
      </c>
      <c r="EH110" s="5">
        <v>427.5</v>
      </c>
    </row>
    <row r="111" spans="3:138" s="5" customFormat="1" x14ac:dyDescent="0.25">
      <c r="C111" s="6"/>
      <c r="D111" s="6" t="s">
        <v>0</v>
      </c>
      <c r="E111" s="7"/>
      <c r="F111" s="8"/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427.5</v>
      </c>
      <c r="DL111" s="9">
        <v>427.5</v>
      </c>
      <c r="DM111" s="9">
        <v>427.5</v>
      </c>
      <c r="DN111" s="9">
        <v>427.5</v>
      </c>
      <c r="DO111" s="9">
        <v>427.5</v>
      </c>
      <c r="DP111" s="9">
        <v>427.5</v>
      </c>
      <c r="DQ111" s="9">
        <v>427.5</v>
      </c>
      <c r="DR111" s="9">
        <v>427.5</v>
      </c>
      <c r="DS111" s="9">
        <v>427.5</v>
      </c>
      <c r="DT111" s="9">
        <v>427.5</v>
      </c>
      <c r="DU111" s="9">
        <v>427.5</v>
      </c>
      <c r="DV111" s="9">
        <v>427.5</v>
      </c>
      <c r="DW111" s="9">
        <v>427.5</v>
      </c>
      <c r="DX111" s="9">
        <v>427.5</v>
      </c>
      <c r="DY111" s="9">
        <v>427.5</v>
      </c>
      <c r="DZ111" s="9">
        <v>427.5</v>
      </c>
      <c r="EA111" s="9">
        <v>427.5</v>
      </c>
      <c r="EB111" s="9">
        <v>427.5</v>
      </c>
      <c r="EC111" s="9">
        <v>427.5</v>
      </c>
      <c r="ED111" s="9">
        <v>427.5</v>
      </c>
      <c r="EE111" s="9">
        <v>427.5</v>
      </c>
      <c r="EF111" s="9">
        <v>427.5</v>
      </c>
      <c r="EG111" s="5">
        <v>427.5</v>
      </c>
      <c r="EH111" s="5">
        <v>427.5</v>
      </c>
    </row>
    <row r="112" spans="3:138" s="5" customFormat="1" x14ac:dyDescent="0.25">
      <c r="C112" s="6"/>
      <c r="D112" s="6" t="s">
        <v>0</v>
      </c>
      <c r="E112" s="7"/>
      <c r="F112" s="8"/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427.5</v>
      </c>
      <c r="DM112" s="9">
        <v>427.5</v>
      </c>
      <c r="DN112" s="9">
        <v>427.5</v>
      </c>
      <c r="DO112" s="9">
        <v>427.5</v>
      </c>
      <c r="DP112" s="9">
        <v>427.5</v>
      </c>
      <c r="DQ112" s="9">
        <v>427.5</v>
      </c>
      <c r="DR112" s="9">
        <v>427.5</v>
      </c>
      <c r="DS112" s="9">
        <v>427.5</v>
      </c>
      <c r="DT112" s="9">
        <v>427.5</v>
      </c>
      <c r="DU112" s="9">
        <v>427.5</v>
      </c>
      <c r="DV112" s="9">
        <v>427.5</v>
      </c>
      <c r="DW112" s="9">
        <v>427.5</v>
      </c>
      <c r="DX112" s="9">
        <v>427.5</v>
      </c>
      <c r="DY112" s="9">
        <v>427.5</v>
      </c>
      <c r="DZ112" s="9">
        <v>427.5</v>
      </c>
      <c r="EA112" s="9">
        <v>427.5</v>
      </c>
      <c r="EB112" s="9">
        <v>427.5</v>
      </c>
      <c r="EC112" s="9">
        <v>427.5</v>
      </c>
      <c r="ED112" s="9">
        <v>427.5</v>
      </c>
      <c r="EE112" s="9">
        <v>427.5</v>
      </c>
      <c r="EF112" s="9">
        <v>427.5</v>
      </c>
      <c r="EG112" s="5">
        <v>427.5</v>
      </c>
      <c r="EH112" s="5">
        <v>427.5</v>
      </c>
    </row>
    <row r="113" spans="3:138" s="5" customFormat="1" x14ac:dyDescent="0.25">
      <c r="C113" s="6"/>
      <c r="D113" s="6" t="s">
        <v>0</v>
      </c>
      <c r="E113" s="7"/>
      <c r="F113" s="8"/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427.5</v>
      </c>
      <c r="DL113" s="9">
        <v>427.5</v>
      </c>
      <c r="DM113" s="9">
        <v>427.5</v>
      </c>
      <c r="DN113" s="9">
        <v>427.5</v>
      </c>
      <c r="DO113" s="9">
        <v>427.5</v>
      </c>
      <c r="DP113" s="9">
        <v>427.5</v>
      </c>
      <c r="DQ113" s="9">
        <v>427.5</v>
      </c>
      <c r="DR113" s="9">
        <v>427.5</v>
      </c>
      <c r="DS113" s="9">
        <v>427.5</v>
      </c>
      <c r="DT113" s="9">
        <v>427.5</v>
      </c>
      <c r="DU113" s="9">
        <v>427.5</v>
      </c>
      <c r="DV113" s="9">
        <v>427.5</v>
      </c>
      <c r="DW113" s="9">
        <v>427.5</v>
      </c>
      <c r="DX113" s="9">
        <v>427.5</v>
      </c>
      <c r="DY113" s="9">
        <v>427.5</v>
      </c>
      <c r="DZ113" s="9">
        <v>427.5</v>
      </c>
      <c r="EA113" s="9">
        <v>427.5</v>
      </c>
      <c r="EB113" s="9">
        <v>427.5</v>
      </c>
      <c r="EC113" s="9">
        <v>427.5</v>
      </c>
      <c r="ED113" s="9">
        <v>427.5</v>
      </c>
      <c r="EE113" s="9">
        <v>427.5</v>
      </c>
      <c r="EF113" s="9">
        <v>427.5</v>
      </c>
      <c r="EG113" s="5">
        <v>427.5</v>
      </c>
      <c r="EH113" s="5">
        <v>427.5</v>
      </c>
    </row>
    <row r="114" spans="3:138" s="5" customFormat="1" x14ac:dyDescent="0.25">
      <c r="C114" s="6"/>
      <c r="D114" s="6" t="s">
        <v>0</v>
      </c>
      <c r="E114" s="7"/>
      <c r="F114" s="8"/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427.5</v>
      </c>
      <c r="DL114" s="9">
        <v>427.5</v>
      </c>
      <c r="DM114" s="9">
        <v>427.5</v>
      </c>
      <c r="DN114" s="9">
        <v>427.5</v>
      </c>
      <c r="DO114" s="9">
        <v>427.5</v>
      </c>
      <c r="DP114" s="9">
        <v>427.5</v>
      </c>
      <c r="DQ114" s="9">
        <v>427.5</v>
      </c>
      <c r="DR114" s="9">
        <v>427.5</v>
      </c>
      <c r="DS114" s="9">
        <v>427.5</v>
      </c>
      <c r="DT114" s="9">
        <v>427.5</v>
      </c>
      <c r="DU114" s="9">
        <v>427.5</v>
      </c>
      <c r="DV114" s="9">
        <v>427.5</v>
      </c>
      <c r="DW114" s="9">
        <v>427.5</v>
      </c>
      <c r="DX114" s="9">
        <v>427.5</v>
      </c>
      <c r="DY114" s="9">
        <v>427.5</v>
      </c>
      <c r="DZ114" s="9">
        <v>427.5</v>
      </c>
      <c r="EA114" s="9">
        <v>427.5</v>
      </c>
      <c r="EB114" s="9">
        <v>427.5</v>
      </c>
      <c r="EC114" s="9">
        <v>427.5</v>
      </c>
      <c r="ED114" s="9">
        <v>427.5</v>
      </c>
      <c r="EE114" s="9">
        <v>427.5</v>
      </c>
      <c r="EF114" s="9">
        <v>427.5</v>
      </c>
      <c r="EG114" s="5">
        <v>427.5</v>
      </c>
      <c r="EH114" s="5">
        <v>427.5</v>
      </c>
    </row>
    <row r="115" spans="3:138" s="5" customFormat="1" x14ac:dyDescent="0.25">
      <c r="C115" s="6"/>
      <c r="D115" s="6" t="s">
        <v>0</v>
      </c>
      <c r="E115" s="7"/>
      <c r="F115" s="8"/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427.5</v>
      </c>
      <c r="DL115" s="9">
        <v>427.5</v>
      </c>
      <c r="DM115" s="9">
        <v>427.5</v>
      </c>
      <c r="DN115" s="9">
        <v>427.5</v>
      </c>
      <c r="DO115" s="9">
        <v>427.5</v>
      </c>
      <c r="DP115" s="9">
        <v>427.5</v>
      </c>
      <c r="DQ115" s="9">
        <v>427.5</v>
      </c>
      <c r="DR115" s="9">
        <v>427.5</v>
      </c>
      <c r="DS115" s="9">
        <v>427.5</v>
      </c>
      <c r="DT115" s="9">
        <v>427.5</v>
      </c>
      <c r="DU115" s="9">
        <v>427.5</v>
      </c>
      <c r="DV115" s="9">
        <v>427.5</v>
      </c>
      <c r="DW115" s="9">
        <v>427.5</v>
      </c>
      <c r="DX115" s="9">
        <v>427.5</v>
      </c>
      <c r="DY115" s="9">
        <v>427.5</v>
      </c>
      <c r="DZ115" s="9">
        <v>427.5</v>
      </c>
      <c r="EA115" s="9">
        <v>427.5</v>
      </c>
      <c r="EB115" s="9">
        <v>427.5</v>
      </c>
      <c r="EC115" s="9">
        <v>427.5</v>
      </c>
      <c r="ED115" s="9">
        <v>427.5</v>
      </c>
      <c r="EE115" s="9">
        <v>427.5</v>
      </c>
      <c r="EF115" s="9">
        <v>427.5</v>
      </c>
      <c r="EG115" s="5">
        <v>427.5</v>
      </c>
      <c r="EH115" s="5">
        <v>427.5</v>
      </c>
    </row>
    <row r="116" spans="3:138" s="5" customFormat="1" x14ac:dyDescent="0.25">
      <c r="C116" s="6"/>
      <c r="D116" s="6" t="s">
        <v>0</v>
      </c>
      <c r="E116" s="7"/>
      <c r="F116" s="8"/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427</v>
      </c>
      <c r="DL116" s="9">
        <v>427</v>
      </c>
      <c r="DM116" s="9">
        <v>427</v>
      </c>
      <c r="DN116" s="9">
        <v>427</v>
      </c>
      <c r="DO116" s="9">
        <v>427</v>
      </c>
      <c r="DP116" s="9">
        <v>427</v>
      </c>
      <c r="DQ116" s="9">
        <v>427</v>
      </c>
      <c r="DR116" s="9">
        <v>427</v>
      </c>
      <c r="DS116" s="9">
        <v>427</v>
      </c>
      <c r="DT116" s="9">
        <v>427</v>
      </c>
      <c r="DU116" s="9">
        <v>427</v>
      </c>
      <c r="DV116" s="9">
        <v>427</v>
      </c>
      <c r="DW116" s="9">
        <v>427</v>
      </c>
      <c r="DX116" s="9">
        <v>427</v>
      </c>
      <c r="DY116" s="9">
        <v>427</v>
      </c>
      <c r="DZ116" s="9">
        <v>427</v>
      </c>
      <c r="EA116" s="9">
        <v>427</v>
      </c>
      <c r="EB116" s="9">
        <v>427</v>
      </c>
      <c r="EC116" s="9">
        <v>427</v>
      </c>
      <c r="ED116" s="9">
        <v>427</v>
      </c>
      <c r="EE116" s="9">
        <v>427</v>
      </c>
      <c r="EF116" s="9">
        <v>427</v>
      </c>
      <c r="EG116" s="5">
        <v>427</v>
      </c>
      <c r="EH116" s="5">
        <v>427</v>
      </c>
    </row>
    <row r="117" spans="3:138" s="5" customFormat="1" x14ac:dyDescent="0.25">
      <c r="C117" s="6"/>
      <c r="D117" s="6" t="s">
        <v>0</v>
      </c>
      <c r="E117" s="7"/>
      <c r="F117" s="8"/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420</v>
      </c>
      <c r="DS117" s="9">
        <v>420</v>
      </c>
      <c r="DT117" s="9">
        <v>420</v>
      </c>
      <c r="DU117" s="9">
        <v>420</v>
      </c>
      <c r="DV117" s="9">
        <v>420</v>
      </c>
      <c r="DW117" s="9">
        <v>420</v>
      </c>
      <c r="DX117" s="9">
        <v>420</v>
      </c>
      <c r="DY117" s="9">
        <v>420</v>
      </c>
      <c r="DZ117" s="9">
        <v>420</v>
      </c>
      <c r="EA117" s="9">
        <v>420</v>
      </c>
      <c r="EB117" s="9">
        <v>420</v>
      </c>
      <c r="EC117" s="9">
        <v>420</v>
      </c>
      <c r="ED117" s="9">
        <v>420</v>
      </c>
      <c r="EE117" s="9">
        <v>420</v>
      </c>
      <c r="EF117" s="9">
        <v>420</v>
      </c>
      <c r="EG117" s="5">
        <v>420</v>
      </c>
      <c r="EH117" s="5">
        <v>420</v>
      </c>
    </row>
    <row r="118" spans="3:138" s="5" customFormat="1" x14ac:dyDescent="0.25">
      <c r="C118" s="6"/>
      <c r="D118" s="6" t="s">
        <v>0</v>
      </c>
      <c r="E118" s="7"/>
      <c r="F118" s="8"/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420</v>
      </c>
      <c r="DR118" s="9">
        <v>420</v>
      </c>
      <c r="DS118" s="9">
        <v>420</v>
      </c>
      <c r="DT118" s="9">
        <v>420</v>
      </c>
      <c r="DU118" s="9">
        <v>420</v>
      </c>
      <c r="DV118" s="9">
        <v>420</v>
      </c>
      <c r="DW118" s="9">
        <v>420</v>
      </c>
      <c r="DX118" s="9">
        <v>420</v>
      </c>
      <c r="DY118" s="9">
        <v>420</v>
      </c>
      <c r="DZ118" s="9">
        <v>420</v>
      </c>
      <c r="EA118" s="9">
        <v>420</v>
      </c>
      <c r="EB118" s="9">
        <v>420</v>
      </c>
      <c r="EC118" s="9">
        <v>420</v>
      </c>
      <c r="ED118" s="9">
        <v>420</v>
      </c>
      <c r="EE118" s="9">
        <v>420</v>
      </c>
      <c r="EF118" s="9">
        <v>420</v>
      </c>
      <c r="EG118" s="5">
        <v>420</v>
      </c>
      <c r="EH118" s="5">
        <v>420</v>
      </c>
    </row>
    <row r="119" spans="3:138" s="5" customFormat="1" x14ac:dyDescent="0.25">
      <c r="C119" s="6"/>
      <c r="D119" s="6" t="s">
        <v>0</v>
      </c>
      <c r="E119" s="7"/>
      <c r="F119" s="8"/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244.83333333333334</v>
      </c>
      <c r="DL119" s="9">
        <v>244.83333333333334</v>
      </c>
      <c r="DM119" s="9">
        <v>244.83333333333334</v>
      </c>
      <c r="DN119" s="9">
        <v>244.83333333333334</v>
      </c>
      <c r="DO119" s="9">
        <v>244.83333333333334</v>
      </c>
      <c r="DP119" s="9">
        <v>244.83333333333334</v>
      </c>
      <c r="DQ119" s="9">
        <v>244.83333333333334</v>
      </c>
      <c r="DR119" s="9">
        <v>244.83333333333334</v>
      </c>
      <c r="DS119" s="9">
        <v>244.83333333333334</v>
      </c>
      <c r="DT119" s="9">
        <v>244.83333333333334</v>
      </c>
      <c r="DU119" s="9">
        <v>244.83333333333334</v>
      </c>
      <c r="DV119" s="9">
        <v>244.83333333333334</v>
      </c>
      <c r="DW119" s="9">
        <v>244.83333333333334</v>
      </c>
      <c r="DX119" s="9">
        <v>244.83333333333334</v>
      </c>
      <c r="DY119" s="9">
        <v>244.83333333333334</v>
      </c>
      <c r="DZ119" s="9">
        <v>244.83333333333334</v>
      </c>
      <c r="EA119" s="9">
        <v>244.83333333333334</v>
      </c>
      <c r="EB119" s="9">
        <v>244.83333333333334</v>
      </c>
      <c r="EC119" s="9">
        <v>244.83333333333334</v>
      </c>
      <c r="ED119" s="9">
        <v>244.83333333333334</v>
      </c>
      <c r="EE119" s="9">
        <v>244.83333333333334</v>
      </c>
      <c r="EF119" s="9">
        <v>244.83333333333334</v>
      </c>
      <c r="EG119" s="5">
        <v>244.83333333333334</v>
      </c>
      <c r="EH119" s="5">
        <v>244.83333333333334</v>
      </c>
    </row>
    <row r="120" spans="3:138" s="5" customFormat="1" x14ac:dyDescent="0.25">
      <c r="C120" s="6"/>
      <c r="D120" s="6" t="s">
        <v>0</v>
      </c>
      <c r="E120" s="7"/>
      <c r="F120" s="8"/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9">
        <v>0</v>
      </c>
      <c r="DG120" s="9">
        <v>0</v>
      </c>
      <c r="DH120" s="9">
        <v>0</v>
      </c>
      <c r="DI120" s="9">
        <v>0</v>
      </c>
      <c r="DJ120" s="9">
        <v>0</v>
      </c>
      <c r="DK120" s="9">
        <v>225</v>
      </c>
      <c r="DL120" s="9">
        <v>225</v>
      </c>
      <c r="DM120" s="9">
        <v>225</v>
      </c>
      <c r="DN120" s="9">
        <v>225</v>
      </c>
      <c r="DO120" s="9">
        <v>225</v>
      </c>
      <c r="DP120" s="9">
        <v>225</v>
      </c>
      <c r="DQ120" s="9">
        <v>225</v>
      </c>
      <c r="DR120" s="9">
        <v>225</v>
      </c>
      <c r="DS120" s="9">
        <v>225</v>
      </c>
      <c r="DT120" s="9">
        <v>225</v>
      </c>
      <c r="DU120" s="9">
        <v>225</v>
      </c>
      <c r="DV120" s="9">
        <v>225</v>
      </c>
      <c r="DW120" s="9">
        <v>225</v>
      </c>
      <c r="DX120" s="9">
        <v>225</v>
      </c>
      <c r="DY120" s="9">
        <v>225</v>
      </c>
      <c r="DZ120" s="9">
        <v>225</v>
      </c>
      <c r="EA120" s="9">
        <v>225</v>
      </c>
      <c r="EB120" s="9">
        <v>225</v>
      </c>
      <c r="EC120" s="9">
        <v>225</v>
      </c>
      <c r="ED120" s="9">
        <v>225</v>
      </c>
      <c r="EE120" s="9">
        <v>225</v>
      </c>
      <c r="EF120" s="9">
        <v>225</v>
      </c>
      <c r="EG120" s="5">
        <v>225</v>
      </c>
      <c r="EH120" s="5">
        <v>225</v>
      </c>
    </row>
    <row r="121" spans="3:138" s="5" customFormat="1" x14ac:dyDescent="0.25">
      <c r="C121" s="6"/>
      <c r="D121" s="6" t="s">
        <v>0</v>
      </c>
      <c r="E121" s="7"/>
      <c r="F121" s="8"/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175.5</v>
      </c>
      <c r="DL121" s="9">
        <v>175.5</v>
      </c>
      <c r="DM121" s="9">
        <v>175.5</v>
      </c>
      <c r="DN121" s="9">
        <v>175.5</v>
      </c>
      <c r="DO121" s="9">
        <v>175.5</v>
      </c>
      <c r="DP121" s="9">
        <v>175.5</v>
      </c>
      <c r="DQ121" s="9">
        <v>175.5</v>
      </c>
      <c r="DR121" s="9">
        <v>175.5</v>
      </c>
      <c r="DS121" s="9">
        <v>175.5</v>
      </c>
      <c r="DT121" s="9">
        <v>175.5</v>
      </c>
      <c r="DU121" s="9">
        <v>175.5</v>
      </c>
      <c r="DV121" s="9">
        <v>175.5</v>
      </c>
      <c r="DW121" s="9">
        <v>175.5</v>
      </c>
      <c r="DX121" s="9">
        <v>175.5</v>
      </c>
      <c r="DY121" s="9">
        <v>175.5</v>
      </c>
      <c r="DZ121" s="9">
        <v>175.5</v>
      </c>
      <c r="EA121" s="9">
        <v>175.5</v>
      </c>
      <c r="EB121" s="9">
        <v>175.5</v>
      </c>
      <c r="EC121" s="9">
        <v>175.5</v>
      </c>
      <c r="ED121" s="9">
        <v>175.5</v>
      </c>
      <c r="EE121" s="9">
        <v>175.5</v>
      </c>
      <c r="EF121" s="9">
        <v>175.5</v>
      </c>
      <c r="EG121" s="5">
        <v>175.5</v>
      </c>
      <c r="EH121" s="5">
        <v>175.5</v>
      </c>
    </row>
    <row r="122" spans="3:138" s="5" customFormat="1" x14ac:dyDescent="0.25">
      <c r="C122" s="6"/>
      <c r="D122" s="6" t="s">
        <v>0</v>
      </c>
      <c r="E122" s="7"/>
      <c r="F122" s="8"/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160</v>
      </c>
      <c r="DL122" s="9">
        <v>160</v>
      </c>
      <c r="DM122" s="9">
        <v>160</v>
      </c>
      <c r="DN122" s="9">
        <v>160</v>
      </c>
      <c r="DO122" s="9">
        <v>160</v>
      </c>
      <c r="DP122" s="9">
        <v>160</v>
      </c>
      <c r="DQ122" s="9">
        <v>160</v>
      </c>
      <c r="DR122" s="9">
        <v>160</v>
      </c>
      <c r="DS122" s="9">
        <v>160</v>
      </c>
      <c r="DT122" s="9">
        <v>160</v>
      </c>
      <c r="DU122" s="9">
        <v>160</v>
      </c>
      <c r="DV122" s="9">
        <v>160</v>
      </c>
      <c r="DW122" s="9">
        <v>160</v>
      </c>
      <c r="DX122" s="9">
        <v>160</v>
      </c>
      <c r="DY122" s="9">
        <v>160</v>
      </c>
      <c r="DZ122" s="9">
        <v>160</v>
      </c>
      <c r="EA122" s="9">
        <v>160</v>
      </c>
      <c r="EB122" s="9">
        <v>160</v>
      </c>
      <c r="EC122" s="9">
        <v>160</v>
      </c>
      <c r="ED122" s="9">
        <v>160</v>
      </c>
      <c r="EE122" s="9">
        <v>160</v>
      </c>
      <c r="EF122" s="9">
        <v>160</v>
      </c>
      <c r="EG122" s="5">
        <v>160</v>
      </c>
      <c r="EH122" s="5">
        <v>160</v>
      </c>
    </row>
    <row r="123" spans="3:138" s="5" customFormat="1" x14ac:dyDescent="0.25">
      <c r="C123" s="6"/>
      <c r="D123" s="6" t="s">
        <v>0</v>
      </c>
      <c r="E123" s="7"/>
      <c r="F123" s="8"/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5">
        <v>0</v>
      </c>
      <c r="EH123" s="5">
        <v>0</v>
      </c>
    </row>
    <row r="124" spans="3:138" s="5" customFormat="1" x14ac:dyDescent="0.25">
      <c r="C124" s="6"/>
      <c r="D124" s="6" t="s">
        <v>0</v>
      </c>
      <c r="E124" s="7"/>
      <c r="F124" s="8"/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5">
        <v>0</v>
      </c>
      <c r="EH124" s="5">
        <v>0</v>
      </c>
    </row>
    <row r="125" spans="3:138" s="5" customFormat="1" x14ac:dyDescent="0.25">
      <c r="C125" s="6"/>
      <c r="D125" s="6" t="s">
        <v>0</v>
      </c>
      <c r="E125" s="7"/>
      <c r="F125" s="8"/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13440</v>
      </c>
      <c r="DL125" s="9">
        <v>13440</v>
      </c>
      <c r="DM125" s="9">
        <v>13440</v>
      </c>
      <c r="DN125" s="9">
        <v>13440</v>
      </c>
      <c r="DO125" s="9">
        <v>13440</v>
      </c>
      <c r="DP125" s="9">
        <v>13440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9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5">
        <v>0</v>
      </c>
      <c r="EH125" s="5">
        <v>0</v>
      </c>
    </row>
    <row r="126" spans="3:138" s="5" customFormat="1" x14ac:dyDescent="0.25">
      <c r="C126" s="6"/>
      <c r="D126" s="6" t="s">
        <v>0</v>
      </c>
      <c r="E126" s="7"/>
      <c r="F126" s="8"/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3346</v>
      </c>
      <c r="DL126" s="9">
        <v>3346</v>
      </c>
      <c r="DM126" s="9">
        <v>3346</v>
      </c>
      <c r="DN126" s="9">
        <v>3346</v>
      </c>
      <c r="DO126" s="9">
        <v>3346</v>
      </c>
      <c r="DP126" s="9">
        <v>3346</v>
      </c>
      <c r="DQ126" s="9">
        <v>3346</v>
      </c>
      <c r="DR126" s="9">
        <v>3346</v>
      </c>
      <c r="DS126" s="9">
        <v>0</v>
      </c>
      <c r="DT126" s="9">
        <v>0</v>
      </c>
      <c r="DU126" s="9">
        <v>0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5">
        <v>0</v>
      </c>
      <c r="EH126" s="5">
        <v>0</v>
      </c>
    </row>
    <row r="127" spans="3:138" s="5" customFormat="1" x14ac:dyDescent="0.25">
      <c r="C127" s="6"/>
      <c r="D127" s="6" t="s">
        <v>0</v>
      </c>
      <c r="E127" s="7"/>
      <c r="F127" s="8"/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  <c r="DK127" s="9">
        <v>3234.6666666666665</v>
      </c>
      <c r="DL127" s="9">
        <v>3234.6666666666665</v>
      </c>
      <c r="DM127" s="9">
        <v>3234.6666666666665</v>
      </c>
      <c r="DN127" s="9">
        <v>3234.6666666666665</v>
      </c>
      <c r="DO127" s="9">
        <v>3234.6666666666665</v>
      </c>
      <c r="DP127" s="9">
        <v>3234.6666666666665</v>
      </c>
      <c r="DQ127" s="9">
        <v>3234.6666666666665</v>
      </c>
      <c r="DR127" s="9">
        <v>3234.6666666666665</v>
      </c>
      <c r="DS127" s="9">
        <v>0</v>
      </c>
      <c r="DT127" s="9">
        <v>0</v>
      </c>
      <c r="DU127" s="9">
        <v>0</v>
      </c>
      <c r="DV127" s="9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5">
        <v>0</v>
      </c>
      <c r="EH127" s="5">
        <v>0</v>
      </c>
    </row>
    <row r="128" spans="3:138" s="5" customFormat="1" x14ac:dyDescent="0.25">
      <c r="C128" s="6"/>
      <c r="D128" s="6" t="s">
        <v>0</v>
      </c>
      <c r="E128" s="7"/>
      <c r="F128" s="8"/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2792</v>
      </c>
      <c r="DL128" s="9">
        <v>2792</v>
      </c>
      <c r="DM128" s="9">
        <v>2792</v>
      </c>
      <c r="DN128" s="9">
        <v>2792</v>
      </c>
      <c r="DO128" s="9">
        <v>2792</v>
      </c>
      <c r="DP128" s="9">
        <v>2792</v>
      </c>
      <c r="DQ128" s="9">
        <v>2792</v>
      </c>
      <c r="DR128" s="9">
        <v>2792</v>
      </c>
      <c r="DS128" s="9">
        <v>2792</v>
      </c>
      <c r="DT128" s="9">
        <v>2792</v>
      </c>
      <c r="DU128" s="9">
        <v>2792</v>
      </c>
      <c r="DV128" s="9">
        <v>2792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5">
        <v>0</v>
      </c>
      <c r="EH128" s="5">
        <v>0</v>
      </c>
    </row>
    <row r="129" spans="3:138" s="5" customFormat="1" x14ac:dyDescent="0.25">
      <c r="C129" s="6"/>
      <c r="D129" s="6" t="s">
        <v>0</v>
      </c>
      <c r="E129" s="7"/>
      <c r="F129" s="8"/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0</v>
      </c>
      <c r="DJ129" s="9">
        <v>0</v>
      </c>
      <c r="DK129" s="9">
        <v>1750</v>
      </c>
      <c r="DL129" s="9">
        <v>1750</v>
      </c>
      <c r="DM129" s="9">
        <v>1750</v>
      </c>
      <c r="DN129" s="9">
        <v>1750</v>
      </c>
      <c r="DO129" s="9">
        <v>1750</v>
      </c>
      <c r="DP129" s="9">
        <v>1750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9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5">
        <v>0</v>
      </c>
      <c r="EH129" s="5">
        <v>0</v>
      </c>
    </row>
    <row r="130" spans="3:138" s="5" customFormat="1" x14ac:dyDescent="0.25">
      <c r="C130" s="6"/>
      <c r="D130" s="6" t="s">
        <v>0</v>
      </c>
      <c r="E130" s="7"/>
      <c r="F130" s="8"/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  <c r="DJ130" s="9">
        <v>0</v>
      </c>
      <c r="DK130" s="9">
        <v>1733.5</v>
      </c>
      <c r="DL130" s="9">
        <v>1733.5</v>
      </c>
      <c r="DM130" s="9">
        <v>1733.5</v>
      </c>
      <c r="DN130" s="9">
        <v>1733.5</v>
      </c>
      <c r="DO130" s="9">
        <v>1733.5</v>
      </c>
      <c r="DP130" s="9">
        <v>1733.5</v>
      </c>
      <c r="DQ130" s="9">
        <v>1733.5</v>
      </c>
      <c r="DR130" s="9">
        <v>1733.5</v>
      </c>
      <c r="DS130" s="9">
        <v>1733.5</v>
      </c>
      <c r="DT130" s="9">
        <v>1733.5</v>
      </c>
      <c r="DU130" s="9">
        <v>1733.5</v>
      </c>
      <c r="DV130" s="9">
        <v>1733.5</v>
      </c>
      <c r="DW130" s="9">
        <v>1733.5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5">
        <v>0</v>
      </c>
      <c r="EH130" s="5">
        <v>0</v>
      </c>
    </row>
    <row r="131" spans="3:138" s="5" customFormat="1" x14ac:dyDescent="0.25">
      <c r="C131" s="6"/>
      <c r="D131" s="6" t="s">
        <v>0</v>
      </c>
      <c r="E131" s="7"/>
      <c r="F131" s="8"/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1701</v>
      </c>
      <c r="DL131" s="9">
        <v>1701</v>
      </c>
      <c r="DM131" s="9">
        <v>1701</v>
      </c>
      <c r="DN131" s="9">
        <v>1701</v>
      </c>
      <c r="DO131" s="9">
        <v>1701</v>
      </c>
      <c r="DP131" s="9">
        <v>1701</v>
      </c>
      <c r="DQ131" s="9">
        <v>1701</v>
      </c>
      <c r="DR131" s="9">
        <v>1701</v>
      </c>
      <c r="DS131" s="9">
        <v>1701</v>
      </c>
      <c r="DT131" s="9">
        <v>1701</v>
      </c>
      <c r="DU131" s="9">
        <v>1701</v>
      </c>
      <c r="DV131" s="9">
        <v>1701</v>
      </c>
      <c r="DW131" s="9">
        <v>1701</v>
      </c>
      <c r="DX131" s="9">
        <v>1701</v>
      </c>
      <c r="DY131" s="9">
        <v>1701</v>
      </c>
      <c r="DZ131" s="9">
        <v>1701</v>
      </c>
      <c r="EA131" s="9">
        <v>1701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5">
        <v>0</v>
      </c>
      <c r="EH131" s="5">
        <v>0</v>
      </c>
    </row>
    <row r="132" spans="3:138" s="5" customFormat="1" x14ac:dyDescent="0.25">
      <c r="C132" s="6"/>
      <c r="D132" s="6" t="s">
        <v>0</v>
      </c>
      <c r="E132" s="7"/>
      <c r="F132" s="8"/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  <c r="DK132" s="9">
        <v>1675</v>
      </c>
      <c r="DL132" s="9">
        <v>1675</v>
      </c>
      <c r="DM132" s="9">
        <v>1675</v>
      </c>
      <c r="DN132" s="9">
        <v>1675</v>
      </c>
      <c r="DO132" s="9">
        <v>1675</v>
      </c>
      <c r="DP132" s="9">
        <v>1675</v>
      </c>
      <c r="DQ132" s="9">
        <v>1675</v>
      </c>
      <c r="DR132" s="9">
        <v>1675</v>
      </c>
      <c r="DS132" s="9">
        <v>1675</v>
      </c>
      <c r="DT132" s="9">
        <v>1675</v>
      </c>
      <c r="DU132" s="9">
        <v>1675</v>
      </c>
      <c r="DV132" s="9">
        <v>0</v>
      </c>
      <c r="DW132" s="9">
        <v>0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5">
        <v>0</v>
      </c>
      <c r="EH132" s="5">
        <v>0</v>
      </c>
    </row>
    <row r="133" spans="3:138" s="5" customFormat="1" x14ac:dyDescent="0.25">
      <c r="C133" s="6"/>
      <c r="D133" s="6" t="s">
        <v>0</v>
      </c>
      <c r="E133" s="7"/>
      <c r="F133" s="8"/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1440</v>
      </c>
      <c r="DM133" s="9">
        <v>1440</v>
      </c>
      <c r="DN133" s="9">
        <v>1440</v>
      </c>
      <c r="DO133" s="9">
        <v>1440</v>
      </c>
      <c r="DP133" s="9">
        <v>1440</v>
      </c>
      <c r="DQ133" s="9">
        <v>1440</v>
      </c>
      <c r="DR133" s="9">
        <v>1440</v>
      </c>
      <c r="DS133" s="9">
        <v>1440</v>
      </c>
      <c r="DT133" s="9">
        <v>1440</v>
      </c>
      <c r="DU133" s="9">
        <v>1440</v>
      </c>
      <c r="DV133" s="9">
        <v>1440</v>
      </c>
      <c r="DW133" s="9">
        <v>1440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5">
        <v>0</v>
      </c>
      <c r="EH133" s="5">
        <v>0</v>
      </c>
    </row>
    <row r="134" spans="3:138" s="5" customFormat="1" x14ac:dyDescent="0.25">
      <c r="C134" s="6"/>
      <c r="D134" s="6" t="s">
        <v>0</v>
      </c>
      <c r="E134" s="7"/>
      <c r="F134" s="8"/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1310</v>
      </c>
      <c r="DL134" s="9">
        <v>1310</v>
      </c>
      <c r="DM134" s="9">
        <v>1310</v>
      </c>
      <c r="DN134" s="9">
        <v>1310</v>
      </c>
      <c r="DO134" s="9">
        <v>1310</v>
      </c>
      <c r="DP134" s="9">
        <v>1310</v>
      </c>
      <c r="DQ134" s="9">
        <v>1310</v>
      </c>
      <c r="DR134" s="9">
        <v>1310</v>
      </c>
      <c r="DS134" s="9">
        <v>1310</v>
      </c>
      <c r="DT134" s="9">
        <v>1310</v>
      </c>
      <c r="DU134" s="9">
        <v>1310</v>
      </c>
      <c r="DV134" s="9">
        <v>1310</v>
      </c>
      <c r="DW134" s="9">
        <v>1310</v>
      </c>
      <c r="DX134" s="9">
        <v>1310</v>
      </c>
      <c r="DY134" s="9">
        <v>1310</v>
      </c>
      <c r="DZ134" s="9">
        <v>1310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5">
        <v>0</v>
      </c>
      <c r="EH134" s="5">
        <v>0</v>
      </c>
    </row>
    <row r="135" spans="3:138" s="5" customFormat="1" x14ac:dyDescent="0.25">
      <c r="C135" s="6"/>
      <c r="D135" s="6" t="s">
        <v>0</v>
      </c>
      <c r="E135" s="7"/>
      <c r="F135" s="8"/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1147.5</v>
      </c>
      <c r="DL135" s="9">
        <v>1147.5</v>
      </c>
      <c r="DM135" s="9">
        <v>1147.5</v>
      </c>
      <c r="DN135" s="9">
        <v>1147.5</v>
      </c>
      <c r="DO135" s="9">
        <v>1147.5</v>
      </c>
      <c r="DP135" s="9">
        <v>1147.5</v>
      </c>
      <c r="DQ135" s="9">
        <v>1147.5</v>
      </c>
      <c r="DR135" s="9">
        <v>1147.5</v>
      </c>
      <c r="DS135" s="9">
        <v>1147.5</v>
      </c>
      <c r="DT135" s="9">
        <v>1147.5</v>
      </c>
      <c r="DU135" s="9">
        <v>1147.5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5">
        <v>0</v>
      </c>
      <c r="EH135" s="5">
        <v>0</v>
      </c>
    </row>
    <row r="136" spans="3:138" s="5" customFormat="1" x14ac:dyDescent="0.25">
      <c r="C136" s="6"/>
      <c r="D136" s="6" t="s">
        <v>0</v>
      </c>
      <c r="E136" s="7"/>
      <c r="F136" s="8"/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  <c r="DK136" s="9">
        <v>1080</v>
      </c>
      <c r="DL136" s="9">
        <v>1080</v>
      </c>
      <c r="DM136" s="9">
        <v>1080</v>
      </c>
      <c r="DN136" s="9">
        <v>1080</v>
      </c>
      <c r="DO136" s="9">
        <v>0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9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0</v>
      </c>
      <c r="EG136" s="5">
        <v>0</v>
      </c>
      <c r="EH136" s="5">
        <v>0</v>
      </c>
    </row>
    <row r="137" spans="3:138" s="5" customFormat="1" x14ac:dyDescent="0.25">
      <c r="C137" s="6"/>
      <c r="D137" s="6" t="s">
        <v>0</v>
      </c>
      <c r="E137" s="7"/>
      <c r="F137" s="8"/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840</v>
      </c>
      <c r="DN137" s="9">
        <v>840</v>
      </c>
      <c r="DO137" s="9">
        <v>840</v>
      </c>
      <c r="DP137" s="9">
        <v>840</v>
      </c>
      <c r="DQ137" s="9">
        <v>840</v>
      </c>
      <c r="DR137" s="9">
        <v>840</v>
      </c>
      <c r="DS137" s="9">
        <v>840</v>
      </c>
      <c r="DT137" s="9">
        <v>840</v>
      </c>
      <c r="DU137" s="9">
        <v>840</v>
      </c>
      <c r="DV137" s="9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5">
        <v>0</v>
      </c>
      <c r="EH137" s="5">
        <v>0</v>
      </c>
    </row>
    <row r="138" spans="3:138" s="5" customFormat="1" x14ac:dyDescent="0.25">
      <c r="C138" s="6"/>
      <c r="D138" s="6" t="s">
        <v>0</v>
      </c>
      <c r="E138" s="7"/>
      <c r="F138" s="8"/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792</v>
      </c>
      <c r="DL138" s="9">
        <v>792</v>
      </c>
      <c r="DM138" s="9">
        <v>792</v>
      </c>
      <c r="DN138" s="9">
        <v>792</v>
      </c>
      <c r="DO138" s="9">
        <v>792</v>
      </c>
      <c r="DP138" s="9">
        <v>792</v>
      </c>
      <c r="DQ138" s="9">
        <v>792</v>
      </c>
      <c r="DR138" s="9">
        <v>792</v>
      </c>
      <c r="DS138" s="9">
        <v>792</v>
      </c>
      <c r="DT138" s="9">
        <v>0</v>
      </c>
      <c r="DU138" s="9">
        <v>0</v>
      </c>
      <c r="DV138" s="9">
        <v>0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5">
        <v>0</v>
      </c>
      <c r="EH138" s="5">
        <v>0</v>
      </c>
    </row>
    <row r="139" spans="3:138" s="5" customFormat="1" x14ac:dyDescent="0.25">
      <c r="C139" s="6"/>
      <c r="D139" s="6" t="s">
        <v>0</v>
      </c>
      <c r="E139" s="7"/>
      <c r="F139" s="8"/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730</v>
      </c>
      <c r="DL139" s="9">
        <v>730</v>
      </c>
      <c r="DM139" s="9">
        <v>730</v>
      </c>
      <c r="DN139" s="9">
        <v>730</v>
      </c>
      <c r="DO139" s="9">
        <v>730</v>
      </c>
      <c r="DP139" s="9">
        <v>730</v>
      </c>
      <c r="DQ139" s="9">
        <v>730</v>
      </c>
      <c r="DR139" s="9">
        <v>730</v>
      </c>
      <c r="DS139" s="9">
        <v>730</v>
      </c>
      <c r="DT139" s="9">
        <v>0</v>
      </c>
      <c r="DU139" s="9">
        <v>0</v>
      </c>
      <c r="DV139" s="9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5">
        <v>0</v>
      </c>
      <c r="EH139" s="5">
        <v>0</v>
      </c>
    </row>
    <row r="140" spans="3:138" s="5" customFormat="1" x14ac:dyDescent="0.25">
      <c r="C140" s="6"/>
      <c r="D140" s="6" t="s">
        <v>0</v>
      </c>
      <c r="E140" s="7"/>
      <c r="F140" s="8"/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700</v>
      </c>
      <c r="DN140" s="9">
        <v>700</v>
      </c>
      <c r="DO140" s="9">
        <v>700</v>
      </c>
      <c r="DP140" s="9">
        <v>700</v>
      </c>
      <c r="DQ140" s="9">
        <v>700</v>
      </c>
      <c r="DR140" s="9">
        <v>700</v>
      </c>
      <c r="DS140" s="9">
        <v>700</v>
      </c>
      <c r="DT140" s="9">
        <v>700</v>
      </c>
      <c r="DU140" s="9">
        <v>700</v>
      </c>
      <c r="DV140" s="9">
        <v>700</v>
      </c>
      <c r="DW140" s="9">
        <v>700</v>
      </c>
      <c r="DX140" s="9">
        <v>700</v>
      </c>
      <c r="DY140" s="9">
        <v>700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5">
        <v>0</v>
      </c>
      <c r="EH140" s="5">
        <v>0</v>
      </c>
    </row>
    <row r="141" spans="3:138" s="5" customFormat="1" x14ac:dyDescent="0.25">
      <c r="C141" s="6"/>
      <c r="D141" s="6" t="s">
        <v>0</v>
      </c>
      <c r="E141" s="7"/>
      <c r="F141" s="8"/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630</v>
      </c>
      <c r="DL141" s="9">
        <v>630</v>
      </c>
      <c r="DM141" s="9">
        <v>630</v>
      </c>
      <c r="DN141" s="9">
        <v>630</v>
      </c>
      <c r="DO141" s="9">
        <v>630</v>
      </c>
      <c r="DP141" s="9">
        <v>630</v>
      </c>
      <c r="DQ141" s="9">
        <v>630</v>
      </c>
      <c r="DR141" s="9">
        <v>630</v>
      </c>
      <c r="DS141" s="9">
        <v>630</v>
      </c>
      <c r="DT141" s="9">
        <v>0</v>
      </c>
      <c r="DU141" s="9">
        <v>0</v>
      </c>
      <c r="DV141" s="9">
        <v>0</v>
      </c>
      <c r="DW141" s="9">
        <v>0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5">
        <v>0</v>
      </c>
      <c r="EH141" s="5">
        <v>0</v>
      </c>
    </row>
    <row r="142" spans="3:138" s="5" customFormat="1" x14ac:dyDescent="0.25">
      <c r="C142" s="6"/>
      <c r="D142" s="6" t="s">
        <v>0</v>
      </c>
      <c r="E142" s="7"/>
      <c r="F142" s="8"/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0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540</v>
      </c>
      <c r="DL142" s="9">
        <v>540</v>
      </c>
      <c r="DM142" s="9">
        <v>540</v>
      </c>
      <c r="DN142" s="9">
        <v>540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9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5">
        <v>0</v>
      </c>
      <c r="EH142" s="5">
        <v>0</v>
      </c>
    </row>
    <row r="143" spans="3:138" s="5" customFormat="1" x14ac:dyDescent="0.25">
      <c r="C143" s="6"/>
      <c r="D143" s="6" t="s">
        <v>0</v>
      </c>
      <c r="E143" s="7"/>
      <c r="F143" s="8"/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0</v>
      </c>
      <c r="DK143" s="9">
        <v>475.16666666666669</v>
      </c>
      <c r="DL143" s="9">
        <v>475.16666666666669</v>
      </c>
      <c r="DM143" s="9">
        <v>475.16666666666669</v>
      </c>
      <c r="DN143" s="9">
        <v>475.16666666666669</v>
      </c>
      <c r="DO143" s="9">
        <v>475.16666666666669</v>
      </c>
      <c r="DP143" s="9">
        <v>475.16666666666669</v>
      </c>
      <c r="DQ143" s="9">
        <v>475.16666666666669</v>
      </c>
      <c r="DR143" s="9">
        <v>475.16666666666669</v>
      </c>
      <c r="DS143" s="9">
        <v>0</v>
      </c>
      <c r="DT143" s="9">
        <v>0</v>
      </c>
      <c r="DU143" s="9">
        <v>0</v>
      </c>
      <c r="DV143" s="9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5">
        <v>0</v>
      </c>
      <c r="EH143" s="5">
        <v>0</v>
      </c>
    </row>
    <row r="144" spans="3:138" s="5" customFormat="1" x14ac:dyDescent="0.25">
      <c r="C144" s="6"/>
      <c r="D144" s="6" t="s">
        <v>0</v>
      </c>
      <c r="E144" s="7"/>
      <c r="F144" s="8"/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  <c r="DK144" s="9">
        <v>450</v>
      </c>
      <c r="DL144" s="9">
        <v>450</v>
      </c>
      <c r="DM144" s="9">
        <v>450</v>
      </c>
      <c r="DN144" s="9">
        <v>450</v>
      </c>
      <c r="DO144" s="9">
        <v>450</v>
      </c>
      <c r="DP144" s="9">
        <v>450</v>
      </c>
      <c r="DQ144" s="9">
        <v>450</v>
      </c>
      <c r="DR144" s="9">
        <v>450</v>
      </c>
      <c r="DS144" s="9">
        <v>450</v>
      </c>
      <c r="DT144" s="9">
        <v>450</v>
      </c>
      <c r="DU144" s="9">
        <v>450</v>
      </c>
      <c r="DV144" s="9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5">
        <v>0</v>
      </c>
      <c r="EH144" s="5">
        <v>0</v>
      </c>
    </row>
    <row r="145" spans="3:138" s="5" customFormat="1" x14ac:dyDescent="0.25">
      <c r="C145" s="6"/>
      <c r="D145" s="6" t="s">
        <v>0</v>
      </c>
      <c r="E145" s="7"/>
      <c r="F145" s="8"/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450</v>
      </c>
      <c r="DL145" s="9">
        <v>450</v>
      </c>
      <c r="DM145" s="9">
        <v>450</v>
      </c>
      <c r="DN145" s="9">
        <v>450</v>
      </c>
      <c r="DO145" s="9">
        <v>450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9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5">
        <v>0</v>
      </c>
      <c r="EH145" s="5">
        <v>0</v>
      </c>
    </row>
    <row r="146" spans="3:138" s="5" customFormat="1" x14ac:dyDescent="0.25">
      <c r="C146" s="6"/>
      <c r="D146" s="6" t="s">
        <v>0</v>
      </c>
      <c r="E146" s="7"/>
      <c r="F146" s="8"/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450</v>
      </c>
      <c r="DM146" s="9">
        <v>450</v>
      </c>
      <c r="DN146" s="9">
        <v>450</v>
      </c>
      <c r="DO146" s="9">
        <v>450</v>
      </c>
      <c r="DP146" s="9">
        <v>450</v>
      </c>
      <c r="DQ146" s="9">
        <v>450</v>
      </c>
      <c r="DR146" s="9">
        <v>450</v>
      </c>
      <c r="DS146" s="9">
        <v>450</v>
      </c>
      <c r="DT146" s="9">
        <v>450</v>
      </c>
      <c r="DU146" s="9">
        <v>450</v>
      </c>
      <c r="DV146" s="9">
        <v>450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5">
        <v>0</v>
      </c>
      <c r="EH146" s="5">
        <v>0</v>
      </c>
    </row>
    <row r="147" spans="3:138" s="5" customFormat="1" x14ac:dyDescent="0.25">
      <c r="C147" s="6"/>
      <c r="D147" s="6" t="s">
        <v>0</v>
      </c>
      <c r="E147" s="7"/>
      <c r="F147" s="8"/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450</v>
      </c>
      <c r="DL147" s="9">
        <v>450</v>
      </c>
      <c r="DM147" s="9">
        <v>450</v>
      </c>
      <c r="DN147" s="9">
        <v>450</v>
      </c>
      <c r="DO147" s="9">
        <v>450</v>
      </c>
      <c r="DP147" s="9">
        <v>450</v>
      </c>
      <c r="DQ147" s="9">
        <v>450</v>
      </c>
      <c r="DR147" s="9">
        <v>450</v>
      </c>
      <c r="DS147" s="9">
        <v>0</v>
      </c>
      <c r="DT147" s="9">
        <v>0</v>
      </c>
      <c r="DU147" s="9">
        <v>0</v>
      </c>
      <c r="DV147" s="9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5">
        <v>0</v>
      </c>
      <c r="EH147" s="5">
        <v>0</v>
      </c>
    </row>
    <row r="148" spans="3:138" s="5" customFormat="1" x14ac:dyDescent="0.25">
      <c r="C148" s="6"/>
      <c r="D148" s="6" t="s">
        <v>0</v>
      </c>
      <c r="E148" s="7"/>
      <c r="F148" s="8"/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  <c r="DK148" s="9">
        <v>450</v>
      </c>
      <c r="DL148" s="9">
        <v>450</v>
      </c>
      <c r="DM148" s="9">
        <v>450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9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5">
        <v>0</v>
      </c>
      <c r="EH148" s="5">
        <v>0</v>
      </c>
    </row>
    <row r="149" spans="3:138" s="5" customFormat="1" x14ac:dyDescent="0.25">
      <c r="C149" s="6"/>
      <c r="D149" s="6" t="s">
        <v>0</v>
      </c>
      <c r="E149" s="7"/>
      <c r="F149" s="8"/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  <c r="DK149" s="9">
        <v>427.5</v>
      </c>
      <c r="DL149" s="9">
        <v>427.5</v>
      </c>
      <c r="DM149" s="9">
        <v>427.5</v>
      </c>
      <c r="DN149" s="9">
        <v>427.5</v>
      </c>
      <c r="DO149" s="9">
        <v>427.5</v>
      </c>
      <c r="DP149" s="9">
        <v>427.5</v>
      </c>
      <c r="DQ149" s="9">
        <v>427.5</v>
      </c>
      <c r="DR149" s="9">
        <v>427.5</v>
      </c>
      <c r="DS149" s="9">
        <v>427.5</v>
      </c>
      <c r="DT149" s="9">
        <v>0</v>
      </c>
      <c r="DU149" s="9">
        <v>0</v>
      </c>
      <c r="DV149" s="9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0</v>
      </c>
      <c r="EF149" s="9">
        <v>0</v>
      </c>
      <c r="EG149" s="5">
        <v>0</v>
      </c>
      <c r="EH149" s="5">
        <v>0</v>
      </c>
    </row>
    <row r="150" spans="3:138" s="5" customFormat="1" x14ac:dyDescent="0.25">
      <c r="C150" s="6"/>
      <c r="D150" s="6" t="s">
        <v>0</v>
      </c>
      <c r="E150" s="7"/>
      <c r="F150" s="8"/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0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427.5</v>
      </c>
      <c r="DL150" s="9">
        <v>427.5</v>
      </c>
      <c r="DM150" s="9">
        <v>427.5</v>
      </c>
      <c r="DN150" s="9">
        <v>427.5</v>
      </c>
      <c r="DO150" s="9">
        <v>427.5</v>
      </c>
      <c r="DP150" s="9">
        <v>427.5</v>
      </c>
      <c r="DQ150" s="9">
        <v>0</v>
      </c>
      <c r="DR150" s="9">
        <v>0</v>
      </c>
      <c r="DS150" s="9">
        <v>0</v>
      </c>
      <c r="DT150" s="9">
        <v>0</v>
      </c>
      <c r="DU150" s="9">
        <v>0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5">
        <v>0</v>
      </c>
      <c r="EH150" s="5">
        <v>0</v>
      </c>
    </row>
    <row r="151" spans="3:138" s="5" customFormat="1" x14ac:dyDescent="0.25">
      <c r="C151" s="6"/>
      <c r="D151" s="6" t="s">
        <v>0</v>
      </c>
      <c r="E151" s="7"/>
      <c r="F151" s="8"/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682.41666666666663</v>
      </c>
      <c r="DL151" s="9">
        <v>682.41666666666663</v>
      </c>
      <c r="DM151" s="9">
        <v>682.41666666666663</v>
      </c>
      <c r="DN151" s="9">
        <v>682.41666666666663</v>
      </c>
      <c r="DO151" s="9">
        <v>682.41666666666663</v>
      </c>
      <c r="DP151" s="9">
        <v>682.41666666666663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9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5">
        <v>0</v>
      </c>
      <c r="EH151" s="5">
        <v>0</v>
      </c>
    </row>
    <row r="152" spans="3:138" s="5" customFormat="1" x14ac:dyDescent="0.25">
      <c r="C152" s="6"/>
      <c r="D152" s="6" t="s">
        <v>0</v>
      </c>
      <c r="E152" s="7"/>
      <c r="F152" s="8"/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9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5">
        <v>0</v>
      </c>
      <c r="EH152" s="5">
        <v>0</v>
      </c>
    </row>
    <row r="153" spans="3:138" s="5" customFormat="1" x14ac:dyDescent="0.25">
      <c r="C153" s="6"/>
      <c r="D153" s="6" t="s">
        <v>0</v>
      </c>
      <c r="E153" s="7"/>
      <c r="F153" s="8"/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0</v>
      </c>
      <c r="CS153" s="9">
        <v>0</v>
      </c>
      <c r="CT153" s="9">
        <v>0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1540</v>
      </c>
      <c r="DP153" s="9">
        <v>1540</v>
      </c>
      <c r="DQ153" s="9">
        <v>1540</v>
      </c>
      <c r="DR153" s="9">
        <v>1540</v>
      </c>
      <c r="DS153" s="9">
        <v>1540</v>
      </c>
      <c r="DT153" s="9">
        <v>1540</v>
      </c>
      <c r="DU153" s="9">
        <v>1540</v>
      </c>
      <c r="DV153" s="9">
        <v>1540</v>
      </c>
      <c r="DW153" s="9">
        <v>1540</v>
      </c>
      <c r="DX153" s="9">
        <v>1540</v>
      </c>
      <c r="DY153" s="9">
        <v>1540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5">
        <v>0</v>
      </c>
      <c r="EH153" s="5">
        <v>0</v>
      </c>
    </row>
    <row r="154" spans="3:138" s="5" customFormat="1" x14ac:dyDescent="0.25">
      <c r="C154" s="6"/>
      <c r="D154" s="6" t="s">
        <v>0</v>
      </c>
      <c r="E154" s="7"/>
      <c r="F154" s="8"/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>
        <v>0</v>
      </c>
      <c r="DG154" s="9">
        <v>0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0</v>
      </c>
      <c r="DO154" s="9">
        <v>0</v>
      </c>
      <c r="DP154" s="9">
        <v>0</v>
      </c>
      <c r="DQ154" s="9">
        <v>0</v>
      </c>
      <c r="DR154" s="9">
        <v>0</v>
      </c>
      <c r="DS154" s="9">
        <v>0</v>
      </c>
      <c r="DT154" s="9">
        <v>0</v>
      </c>
      <c r="DU154" s="9">
        <v>0</v>
      </c>
      <c r="DV154" s="9">
        <v>0</v>
      </c>
      <c r="DW154" s="9">
        <v>0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5">
        <v>0</v>
      </c>
      <c r="EH154" s="5">
        <v>0</v>
      </c>
    </row>
    <row r="155" spans="3:138" s="5" customFormat="1" x14ac:dyDescent="0.25">
      <c r="C155" s="6"/>
      <c r="D155" s="6" t="s">
        <v>0</v>
      </c>
      <c r="E155" s="7"/>
      <c r="F155" s="8"/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9">
        <v>0</v>
      </c>
      <c r="DU155" s="9">
        <v>0</v>
      </c>
      <c r="DV155" s="9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5">
        <v>0</v>
      </c>
      <c r="EH155" s="5">
        <v>0</v>
      </c>
    </row>
    <row r="156" spans="3:138" s="5" customFormat="1" x14ac:dyDescent="0.25">
      <c r="C156" s="6"/>
      <c r="D156" s="6" t="s">
        <v>0</v>
      </c>
      <c r="E156" s="7"/>
      <c r="F156" s="8"/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9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5">
        <v>0</v>
      </c>
      <c r="EH156" s="5">
        <v>0</v>
      </c>
    </row>
    <row r="157" spans="3:138" s="5" customFormat="1" x14ac:dyDescent="0.25">
      <c r="C157" s="6"/>
      <c r="D157" s="6" t="s">
        <v>0</v>
      </c>
      <c r="E157" s="7"/>
      <c r="F157" s="8"/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0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450</v>
      </c>
      <c r="DQ157" s="9">
        <v>450</v>
      </c>
      <c r="DR157" s="9">
        <v>450</v>
      </c>
      <c r="DS157" s="9">
        <v>450</v>
      </c>
      <c r="DT157" s="9">
        <v>450</v>
      </c>
      <c r="DU157" s="9">
        <v>450</v>
      </c>
      <c r="DV157" s="9">
        <v>450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5">
        <v>0</v>
      </c>
      <c r="EH157" s="5">
        <v>0</v>
      </c>
    </row>
    <row r="158" spans="3:138" s="5" customFormat="1" x14ac:dyDescent="0.25">
      <c r="C158" s="6"/>
      <c r="D158" s="6" t="s">
        <v>0</v>
      </c>
      <c r="E158" s="7"/>
      <c r="F158" s="8"/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5">
        <v>0</v>
      </c>
      <c r="EH158" s="5">
        <v>0</v>
      </c>
    </row>
    <row r="159" spans="3:138" s="5" customFormat="1" x14ac:dyDescent="0.25">
      <c r="C159" s="6"/>
      <c r="D159" s="6" t="s">
        <v>0</v>
      </c>
      <c r="E159" s="7"/>
      <c r="F159" s="8"/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5">
        <v>0</v>
      </c>
      <c r="EH159" s="5">
        <v>0</v>
      </c>
    </row>
    <row r="160" spans="3:138" s="5" customFormat="1" x14ac:dyDescent="0.25">
      <c r="C160" s="6"/>
      <c r="D160" s="6" t="s">
        <v>0</v>
      </c>
      <c r="E160" s="7"/>
      <c r="F160" s="8"/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9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5">
        <v>0</v>
      </c>
      <c r="EH160" s="5">
        <v>0</v>
      </c>
    </row>
    <row r="161" spans="3:138" s="5" customFormat="1" x14ac:dyDescent="0.25">
      <c r="C161" s="6"/>
      <c r="D161" s="6" t="s">
        <v>0</v>
      </c>
      <c r="E161" s="7"/>
      <c r="F161" s="8"/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0</v>
      </c>
      <c r="DU161" s="9">
        <v>0</v>
      </c>
      <c r="DV161" s="9">
        <v>0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5">
        <v>0</v>
      </c>
      <c r="EH161" s="5">
        <v>0</v>
      </c>
    </row>
    <row r="162" spans="3:138" s="5" customFormat="1" x14ac:dyDescent="0.25">
      <c r="C162" s="6"/>
      <c r="D162" s="6" t="s">
        <v>0</v>
      </c>
      <c r="E162" s="7"/>
      <c r="F162" s="8"/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9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5">
        <v>0</v>
      </c>
      <c r="EH162" s="5">
        <v>0</v>
      </c>
    </row>
    <row r="163" spans="3:138" s="5" customFormat="1" x14ac:dyDescent="0.25">
      <c r="C163" s="6"/>
      <c r="D163" s="6" t="s">
        <v>0</v>
      </c>
      <c r="E163" s="7"/>
      <c r="F163" s="8"/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9">
        <v>0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5">
        <v>0</v>
      </c>
      <c r="EH163" s="5">
        <v>0</v>
      </c>
    </row>
    <row r="164" spans="3:138" s="5" customFormat="1" x14ac:dyDescent="0.25">
      <c r="C164" s="6"/>
      <c r="D164" s="6" t="s">
        <v>0</v>
      </c>
      <c r="E164" s="7"/>
      <c r="F164" s="8"/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450</v>
      </c>
      <c r="DP164" s="9">
        <v>450</v>
      </c>
      <c r="DQ164" s="9">
        <v>450</v>
      </c>
      <c r="DR164" s="9">
        <v>450</v>
      </c>
      <c r="DS164" s="9">
        <v>450</v>
      </c>
      <c r="DT164" s="9">
        <v>450</v>
      </c>
      <c r="DU164" s="9">
        <v>0</v>
      </c>
      <c r="DV164" s="9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5">
        <v>0</v>
      </c>
      <c r="EH164" s="5">
        <v>0</v>
      </c>
    </row>
    <row r="165" spans="3:138" s="5" customFormat="1" x14ac:dyDescent="0.25">
      <c r="C165" s="6"/>
      <c r="D165" s="6" t="s">
        <v>0</v>
      </c>
      <c r="E165" s="7"/>
      <c r="F165" s="8"/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9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5">
        <v>0</v>
      </c>
      <c r="EH165" s="5">
        <v>0</v>
      </c>
    </row>
    <row r="166" spans="3:138" s="5" customFormat="1" x14ac:dyDescent="0.25">
      <c r="C166" s="6"/>
      <c r="D166" s="6" t="s">
        <v>0</v>
      </c>
      <c r="E166" s="7"/>
      <c r="F166" s="8"/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5">
        <v>0</v>
      </c>
      <c r="EH166" s="5">
        <v>0</v>
      </c>
    </row>
    <row r="167" spans="3:138" s="5" customFormat="1" x14ac:dyDescent="0.25">
      <c r="C167" s="6"/>
      <c r="D167" s="6" t="s">
        <v>0</v>
      </c>
      <c r="E167" s="7"/>
      <c r="F167" s="8"/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5">
        <v>0</v>
      </c>
      <c r="EH167" s="5">
        <v>0</v>
      </c>
    </row>
    <row r="168" spans="3:138" s="5" customFormat="1" x14ac:dyDescent="0.25">
      <c r="C168" s="6"/>
      <c r="D168" s="6" t="s">
        <v>0</v>
      </c>
      <c r="E168" s="7"/>
      <c r="F168" s="8"/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9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0</v>
      </c>
      <c r="EF168" s="9">
        <v>0</v>
      </c>
      <c r="EG168" s="5">
        <v>0</v>
      </c>
      <c r="EH168" s="5">
        <v>0</v>
      </c>
    </row>
    <row r="169" spans="3:138" s="5" customFormat="1" x14ac:dyDescent="0.25">
      <c r="C169" s="6"/>
      <c r="D169" s="6" t="s">
        <v>0</v>
      </c>
      <c r="E169" s="7"/>
      <c r="F169" s="8"/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427.5</v>
      </c>
      <c r="DP169" s="9">
        <v>427.5</v>
      </c>
      <c r="DQ169" s="9">
        <v>427.5</v>
      </c>
      <c r="DR169" s="9">
        <v>427.5</v>
      </c>
      <c r="DS169" s="9">
        <v>427.5</v>
      </c>
      <c r="DT169" s="9">
        <v>427.5</v>
      </c>
      <c r="DU169" s="9">
        <v>427.5</v>
      </c>
      <c r="DV169" s="9">
        <v>427.5</v>
      </c>
      <c r="DW169" s="9">
        <v>427.5</v>
      </c>
      <c r="DX169" s="9">
        <v>427.5</v>
      </c>
      <c r="DY169" s="9">
        <v>427.5</v>
      </c>
      <c r="DZ169" s="9">
        <v>427.5</v>
      </c>
      <c r="EA169" s="9">
        <v>427.5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5">
        <v>0</v>
      </c>
      <c r="EH169" s="5">
        <v>0</v>
      </c>
    </row>
    <row r="170" spans="3:138" s="5" customFormat="1" x14ac:dyDescent="0.25">
      <c r="C170" s="6"/>
      <c r="D170" s="6" t="s">
        <v>0</v>
      </c>
      <c r="E170" s="7"/>
      <c r="F170" s="8"/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0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0</v>
      </c>
      <c r="CQ170" s="9">
        <v>0</v>
      </c>
      <c r="CR170" s="9">
        <v>0</v>
      </c>
      <c r="CS170" s="9">
        <v>0</v>
      </c>
      <c r="CT170" s="9">
        <v>0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>
        <v>0</v>
      </c>
      <c r="DG170" s="9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0</v>
      </c>
      <c r="DT170" s="9">
        <v>0</v>
      </c>
      <c r="DU170" s="9">
        <v>0</v>
      </c>
      <c r="DV170" s="9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0</v>
      </c>
      <c r="EF170" s="9">
        <v>0</v>
      </c>
      <c r="EG170" s="5">
        <v>0</v>
      </c>
      <c r="EH170" s="5">
        <v>0</v>
      </c>
    </row>
    <row r="171" spans="3:138" s="5" customFormat="1" x14ac:dyDescent="0.25">
      <c r="C171" s="6"/>
      <c r="D171" s="6" t="s">
        <v>0</v>
      </c>
      <c r="E171" s="7"/>
      <c r="F171" s="8"/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9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5">
        <v>0</v>
      </c>
      <c r="EH171" s="5">
        <v>0</v>
      </c>
    </row>
    <row r="172" spans="3:138" s="5" customFormat="1" x14ac:dyDescent="0.25">
      <c r="C172" s="6"/>
      <c r="D172" s="6" t="s">
        <v>0</v>
      </c>
      <c r="E172" s="7"/>
      <c r="F172" s="8"/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5">
        <v>0</v>
      </c>
      <c r="EH172" s="5">
        <v>0</v>
      </c>
    </row>
    <row r="173" spans="3:138" s="5" customFormat="1" x14ac:dyDescent="0.25">
      <c r="C173" s="6"/>
      <c r="D173" s="6" t="s">
        <v>0</v>
      </c>
      <c r="E173" s="7"/>
      <c r="F173" s="8"/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9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5">
        <v>0</v>
      </c>
      <c r="EH173" s="5">
        <v>0</v>
      </c>
    </row>
    <row r="174" spans="3:138" s="5" customFormat="1" x14ac:dyDescent="0.25">
      <c r="C174" s="6"/>
      <c r="D174" s="6" t="s">
        <v>0</v>
      </c>
      <c r="E174" s="7"/>
      <c r="F174" s="8"/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9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5">
        <v>0</v>
      </c>
      <c r="EH174" s="5">
        <v>0</v>
      </c>
    </row>
    <row r="175" spans="3:138" s="5" customFormat="1" x14ac:dyDescent="0.25">
      <c r="C175" s="6"/>
      <c r="D175" s="6" t="s">
        <v>0</v>
      </c>
      <c r="E175" s="7"/>
      <c r="F175" s="8"/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9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5">
        <v>0</v>
      </c>
      <c r="EH175" s="5">
        <v>0</v>
      </c>
    </row>
    <row r="176" spans="3:138" s="5" customFormat="1" x14ac:dyDescent="0.25">
      <c r="C176" s="6"/>
      <c r="D176" s="6" t="s">
        <v>0</v>
      </c>
      <c r="E176" s="7"/>
      <c r="F176" s="8"/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5">
        <v>0</v>
      </c>
      <c r="EH176" s="5">
        <v>0</v>
      </c>
    </row>
    <row r="177" spans="3:138" s="5" customFormat="1" x14ac:dyDescent="0.25">
      <c r="C177" s="6"/>
      <c r="D177" s="6" t="s">
        <v>0</v>
      </c>
      <c r="E177" s="7"/>
      <c r="F177" s="8"/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9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5">
        <v>0</v>
      </c>
      <c r="EH177" s="5">
        <v>0</v>
      </c>
    </row>
    <row r="178" spans="3:138" s="5" customFormat="1" x14ac:dyDescent="0.25">
      <c r="C178" s="6"/>
      <c r="D178" s="6" t="s">
        <v>0</v>
      </c>
      <c r="E178" s="7"/>
      <c r="F178" s="8"/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9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5">
        <v>0</v>
      </c>
      <c r="EH178" s="5">
        <v>0</v>
      </c>
    </row>
    <row r="179" spans="3:138" s="5" customFormat="1" x14ac:dyDescent="0.25">
      <c r="C179" s="6"/>
      <c r="D179" s="6" t="s">
        <v>0</v>
      </c>
      <c r="E179" s="7"/>
      <c r="F179" s="8"/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0</v>
      </c>
      <c r="DG179" s="9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9">
        <v>0</v>
      </c>
      <c r="DW179" s="9">
        <v>0</v>
      </c>
      <c r="DX179" s="9">
        <v>0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5">
        <v>0</v>
      </c>
      <c r="EH179" s="5">
        <v>0</v>
      </c>
    </row>
    <row r="180" spans="3:138" s="5" customFormat="1" x14ac:dyDescent="0.25">
      <c r="C180" s="6"/>
      <c r="D180" s="6" t="s">
        <v>0</v>
      </c>
      <c r="E180" s="7"/>
      <c r="F180" s="8"/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9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5">
        <v>0</v>
      </c>
      <c r="EH180" s="5">
        <v>0</v>
      </c>
    </row>
    <row r="181" spans="3:138" s="5" customFormat="1" x14ac:dyDescent="0.25">
      <c r="C181" s="6"/>
      <c r="D181" s="6" t="s">
        <v>0</v>
      </c>
      <c r="E181" s="7"/>
      <c r="F181" s="8"/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9">
        <v>0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5">
        <v>0</v>
      </c>
      <c r="EH181" s="5">
        <v>0</v>
      </c>
    </row>
    <row r="182" spans="3:138" s="5" customFormat="1" x14ac:dyDescent="0.25">
      <c r="C182" s="6"/>
      <c r="D182" s="6" t="s">
        <v>0</v>
      </c>
      <c r="E182" s="7"/>
      <c r="F182" s="8"/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450</v>
      </c>
      <c r="DQ182" s="9">
        <v>450</v>
      </c>
      <c r="DR182" s="9">
        <v>450</v>
      </c>
      <c r="DS182" s="9">
        <v>450</v>
      </c>
      <c r="DT182" s="9">
        <v>450</v>
      </c>
      <c r="DU182" s="9">
        <v>450</v>
      </c>
      <c r="DV182" s="9">
        <v>450</v>
      </c>
      <c r="DW182" s="9">
        <v>450</v>
      </c>
      <c r="DX182" s="9">
        <v>450</v>
      </c>
      <c r="DY182" s="9">
        <v>450</v>
      </c>
      <c r="DZ182" s="9">
        <v>450</v>
      </c>
      <c r="EA182" s="9">
        <v>450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5">
        <v>0</v>
      </c>
      <c r="EH182" s="5">
        <v>0</v>
      </c>
    </row>
    <row r="183" spans="3:138" s="5" customFormat="1" x14ac:dyDescent="0.25">
      <c r="C183" s="6"/>
      <c r="D183" s="6" t="s">
        <v>0</v>
      </c>
      <c r="E183" s="7"/>
      <c r="F183" s="8"/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5">
        <v>0</v>
      </c>
      <c r="EH183" s="5">
        <v>0</v>
      </c>
    </row>
    <row r="184" spans="3:138" s="5" customFormat="1" x14ac:dyDescent="0.25">
      <c r="C184" s="6"/>
      <c r="D184" s="6" t="s">
        <v>0</v>
      </c>
      <c r="E184" s="7"/>
      <c r="F184" s="8"/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9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5">
        <v>0</v>
      </c>
      <c r="EH184" s="5">
        <v>0</v>
      </c>
    </row>
    <row r="185" spans="3:138" s="5" customFormat="1" x14ac:dyDescent="0.25">
      <c r="C185" s="6"/>
      <c r="D185" s="6" t="s">
        <v>0</v>
      </c>
      <c r="E185" s="7"/>
      <c r="F185" s="8"/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9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5">
        <v>0</v>
      </c>
      <c r="EH185" s="5">
        <v>0</v>
      </c>
    </row>
    <row r="186" spans="3:138" s="5" customFormat="1" x14ac:dyDescent="0.25">
      <c r="C186" s="6"/>
      <c r="D186" s="6" t="s">
        <v>0</v>
      </c>
      <c r="E186" s="7"/>
      <c r="F186" s="8"/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0</v>
      </c>
      <c r="CR186" s="9">
        <v>0</v>
      </c>
      <c r="CS186" s="9">
        <v>0</v>
      </c>
      <c r="CT186" s="9">
        <v>0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0</v>
      </c>
      <c r="DG186" s="9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9">
        <v>0</v>
      </c>
      <c r="DW186" s="9">
        <v>0</v>
      </c>
      <c r="DX186" s="9">
        <v>0</v>
      </c>
      <c r="DY186" s="9">
        <v>0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0</v>
      </c>
      <c r="EF186" s="9">
        <v>0</v>
      </c>
      <c r="EG186" s="5">
        <v>0</v>
      </c>
      <c r="EH186" s="5">
        <v>0</v>
      </c>
    </row>
    <row r="187" spans="3:138" s="5" customFormat="1" x14ac:dyDescent="0.25">
      <c r="C187" s="6"/>
      <c r="D187" s="6" t="s">
        <v>0</v>
      </c>
      <c r="E187" s="7"/>
      <c r="F187" s="8"/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9">
        <v>0</v>
      </c>
      <c r="DG187" s="9">
        <v>0</v>
      </c>
      <c r="DH187" s="9">
        <v>0</v>
      </c>
      <c r="DI187" s="9">
        <v>0</v>
      </c>
      <c r="DJ187" s="9">
        <v>0</v>
      </c>
      <c r="DK187" s="9">
        <v>0</v>
      </c>
      <c r="DL187" s="9">
        <v>0</v>
      </c>
      <c r="DM187" s="9">
        <v>0</v>
      </c>
      <c r="DN187" s="9">
        <v>0</v>
      </c>
      <c r="DO187" s="9">
        <v>0</v>
      </c>
      <c r="DP187" s="9">
        <v>0</v>
      </c>
      <c r="DQ187" s="9">
        <v>0</v>
      </c>
      <c r="DR187" s="9">
        <v>1250</v>
      </c>
      <c r="DS187" s="9">
        <v>1250</v>
      </c>
      <c r="DT187" s="9">
        <v>1250</v>
      </c>
      <c r="DU187" s="9">
        <v>1250</v>
      </c>
      <c r="DV187" s="9">
        <v>1250</v>
      </c>
      <c r="DW187" s="9">
        <v>1250</v>
      </c>
      <c r="DX187" s="9">
        <v>1250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5">
        <v>0</v>
      </c>
      <c r="EH187" s="5">
        <v>0</v>
      </c>
    </row>
    <row r="188" spans="3:138" s="5" customFormat="1" x14ac:dyDescent="0.25">
      <c r="C188" s="6"/>
      <c r="D188" s="6" t="s">
        <v>0</v>
      </c>
      <c r="E188" s="7"/>
      <c r="F188" s="8"/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</row>
    <row r="189" spans="3:138" s="5" customFormat="1" x14ac:dyDescent="0.25">
      <c r="C189" s="6"/>
      <c r="D189" s="6" t="s">
        <v>0</v>
      </c>
      <c r="E189" s="7"/>
      <c r="F189" s="8"/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0</v>
      </c>
      <c r="BZ189" s="9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0</v>
      </c>
      <c r="CS189" s="9">
        <v>0</v>
      </c>
      <c r="CT189" s="9">
        <v>0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9">
        <v>0</v>
      </c>
      <c r="DG189" s="9">
        <v>0</v>
      </c>
      <c r="DH189" s="9">
        <v>0</v>
      </c>
      <c r="DI189" s="9">
        <v>0</v>
      </c>
      <c r="DJ189" s="9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</row>
    <row r="190" spans="3:138" s="5" customFormat="1" x14ac:dyDescent="0.25">
      <c r="C190" s="6"/>
      <c r="D190" s="6" t="s">
        <v>0</v>
      </c>
      <c r="E190" s="7"/>
      <c r="F190" s="8"/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0</v>
      </c>
      <c r="BW190" s="9">
        <v>0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</row>
    <row r="191" spans="3:138" s="5" customFormat="1" x14ac:dyDescent="0.25">
      <c r="C191" s="6"/>
      <c r="D191" s="6" t="s">
        <v>0</v>
      </c>
      <c r="E191" s="7"/>
      <c r="F191" s="8"/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</v>
      </c>
      <c r="CV191" s="9">
        <v>0</v>
      </c>
      <c r="CW191" s="9">
        <v>0</v>
      </c>
      <c r="CX191" s="9">
        <v>0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0</v>
      </c>
      <c r="DH191" s="9">
        <v>0</v>
      </c>
      <c r="DI191" s="9">
        <v>0</v>
      </c>
      <c r="DJ191" s="9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</row>
    <row r="192" spans="3:138" s="5" customFormat="1" x14ac:dyDescent="0.25">
      <c r="C192" s="6"/>
      <c r="D192" s="6" t="s">
        <v>0</v>
      </c>
      <c r="E192" s="7"/>
      <c r="F192" s="8"/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9">
        <v>0</v>
      </c>
      <c r="DG192" s="9">
        <v>0</v>
      </c>
      <c r="DH192" s="9">
        <v>0</v>
      </c>
      <c r="DI192" s="9">
        <v>0</v>
      </c>
      <c r="DJ192" s="9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</row>
    <row r="193" spans="3:138" s="5" customFormat="1" x14ac:dyDescent="0.25">
      <c r="C193" s="6"/>
      <c r="D193" s="6" t="s">
        <v>0</v>
      </c>
      <c r="E193" s="7"/>
      <c r="F193" s="8"/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9">
        <v>0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  <c r="BO193" s="9">
        <v>0</v>
      </c>
      <c r="BP193" s="9">
        <v>0</v>
      </c>
      <c r="BQ193" s="9">
        <v>0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0</v>
      </c>
      <c r="BX193" s="9">
        <v>0</v>
      </c>
      <c r="BY193" s="9">
        <v>0</v>
      </c>
      <c r="BZ193" s="9">
        <v>0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  <c r="CN193" s="9">
        <v>0</v>
      </c>
      <c r="CO193" s="9">
        <v>0</v>
      </c>
      <c r="CP193" s="9">
        <v>0</v>
      </c>
      <c r="CQ193" s="9">
        <v>0</v>
      </c>
      <c r="CR193" s="9">
        <v>0</v>
      </c>
      <c r="CS193" s="9">
        <v>0</v>
      </c>
      <c r="CT193" s="9">
        <v>0</v>
      </c>
      <c r="CU193" s="9">
        <v>0</v>
      </c>
      <c r="CV193" s="9">
        <v>0</v>
      </c>
      <c r="CW193" s="9">
        <v>0</v>
      </c>
      <c r="CX193" s="9">
        <v>0</v>
      </c>
      <c r="CY193" s="9">
        <v>0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9">
        <v>0</v>
      </c>
      <c r="DG193" s="9">
        <v>0</v>
      </c>
      <c r="DH193" s="9">
        <v>0</v>
      </c>
      <c r="DI193" s="9">
        <v>0</v>
      </c>
      <c r="DJ193" s="9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</row>
    <row r="194" spans="3:138" s="5" customFormat="1" x14ac:dyDescent="0.25">
      <c r="C194" s="6"/>
      <c r="D194" s="6" t="s">
        <v>0</v>
      </c>
      <c r="E194" s="7"/>
      <c r="F194" s="8"/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0</v>
      </c>
      <c r="BW194" s="9">
        <v>0</v>
      </c>
      <c r="BX194" s="9">
        <v>0</v>
      </c>
      <c r="BY194" s="9">
        <v>0</v>
      </c>
      <c r="BZ194" s="9">
        <v>0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0</v>
      </c>
      <c r="CQ194" s="9">
        <v>0</v>
      </c>
      <c r="CR194" s="9">
        <v>0</v>
      </c>
      <c r="CS194" s="9">
        <v>0</v>
      </c>
      <c r="CT194" s="9">
        <v>0</v>
      </c>
      <c r="CU194" s="9">
        <v>0</v>
      </c>
      <c r="CV194" s="9">
        <v>0</v>
      </c>
      <c r="CW194" s="9">
        <v>0</v>
      </c>
      <c r="CX194" s="9">
        <v>0</v>
      </c>
      <c r="CY194" s="9">
        <v>0</v>
      </c>
      <c r="CZ194" s="9">
        <v>0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9">
        <v>0</v>
      </c>
      <c r="DG194" s="9">
        <v>0</v>
      </c>
      <c r="DH194" s="9">
        <v>0</v>
      </c>
      <c r="DI194" s="9">
        <v>0</v>
      </c>
      <c r="DJ194" s="9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</row>
    <row r="195" spans="3:138" s="5" customFormat="1" x14ac:dyDescent="0.25">
      <c r="C195" s="6"/>
      <c r="D195" s="6" t="s">
        <v>0</v>
      </c>
      <c r="E195" s="7"/>
      <c r="F195" s="8"/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0</v>
      </c>
      <c r="BT195" s="9">
        <v>0</v>
      </c>
      <c r="BU195" s="9">
        <v>0</v>
      </c>
      <c r="BV195" s="9">
        <v>0</v>
      </c>
      <c r="BW195" s="9">
        <v>0</v>
      </c>
      <c r="BX195" s="9">
        <v>0</v>
      </c>
      <c r="BY195" s="9">
        <v>0</v>
      </c>
      <c r="BZ195" s="9">
        <v>0</v>
      </c>
      <c r="CA195" s="9">
        <v>0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0</v>
      </c>
      <c r="CS195" s="9">
        <v>0</v>
      </c>
      <c r="CT195" s="9">
        <v>0</v>
      </c>
      <c r="CU195" s="9">
        <v>0</v>
      </c>
      <c r="CV195" s="9">
        <v>0</v>
      </c>
      <c r="CW195" s="9">
        <v>0</v>
      </c>
      <c r="CX195" s="9">
        <v>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9">
        <v>0</v>
      </c>
      <c r="DG195" s="9">
        <v>0</v>
      </c>
      <c r="DH195" s="9">
        <v>0</v>
      </c>
      <c r="DI195" s="9">
        <v>0</v>
      </c>
      <c r="DJ195" s="9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</row>
    <row r="196" spans="3:138" s="5" customFormat="1" x14ac:dyDescent="0.25">
      <c r="C196" s="6"/>
      <c r="D196" s="6" t="s">
        <v>0</v>
      </c>
      <c r="E196" s="7"/>
      <c r="F196" s="8"/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0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0</v>
      </c>
      <c r="CS196" s="9">
        <v>0</v>
      </c>
      <c r="CT196" s="9">
        <v>0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9">
        <v>0</v>
      </c>
      <c r="DG196" s="9">
        <v>0</v>
      </c>
      <c r="DH196" s="9">
        <v>0</v>
      </c>
      <c r="DI196" s="9">
        <v>0</v>
      </c>
      <c r="DJ196" s="9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</row>
    <row r="197" spans="3:138" s="5" customFormat="1" x14ac:dyDescent="0.25">
      <c r="C197" s="6"/>
      <c r="D197" s="6" t="s">
        <v>0</v>
      </c>
      <c r="E197" s="7"/>
      <c r="F197" s="8"/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9">
        <v>0</v>
      </c>
      <c r="BA197" s="9">
        <v>0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0</v>
      </c>
      <c r="BT197" s="9">
        <v>0</v>
      </c>
      <c r="BU197" s="9">
        <v>0</v>
      </c>
      <c r="BV197" s="9">
        <v>0</v>
      </c>
      <c r="BW197" s="9">
        <v>0</v>
      </c>
      <c r="BX197" s="9">
        <v>0</v>
      </c>
      <c r="BY197" s="9">
        <v>0</v>
      </c>
      <c r="BZ197" s="9">
        <v>0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0</v>
      </c>
      <c r="CQ197" s="9">
        <v>0</v>
      </c>
      <c r="CR197" s="9">
        <v>0</v>
      </c>
      <c r="CS197" s="9">
        <v>0</v>
      </c>
      <c r="CT197" s="9">
        <v>0</v>
      </c>
      <c r="CU197" s="9">
        <v>0</v>
      </c>
      <c r="CV197" s="9">
        <v>0</v>
      </c>
      <c r="CW197" s="9">
        <v>0</v>
      </c>
      <c r="CX197" s="9">
        <v>0</v>
      </c>
      <c r="CY197" s="9">
        <v>0</v>
      </c>
      <c r="CZ197" s="9">
        <v>0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9">
        <v>0</v>
      </c>
      <c r="DG197" s="9">
        <v>0</v>
      </c>
      <c r="DH197" s="9">
        <v>0</v>
      </c>
      <c r="DI197" s="9">
        <v>0</v>
      </c>
      <c r="DJ197" s="9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</row>
    <row r="198" spans="3:138" s="5" customFormat="1" x14ac:dyDescent="0.25">
      <c r="C198" s="6"/>
      <c r="D198" s="6" t="s">
        <v>0</v>
      </c>
      <c r="E198" s="7"/>
      <c r="F198" s="8"/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0</v>
      </c>
      <c r="CS198" s="9">
        <v>0</v>
      </c>
      <c r="CT198" s="9">
        <v>0</v>
      </c>
      <c r="CU198" s="9">
        <v>0</v>
      </c>
      <c r="CV198" s="9">
        <v>0</v>
      </c>
      <c r="CW198" s="9">
        <v>0</v>
      </c>
      <c r="CX198" s="9">
        <v>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9">
        <v>0</v>
      </c>
      <c r="DG198" s="9">
        <v>0</v>
      </c>
      <c r="DH198" s="9">
        <v>0</v>
      </c>
      <c r="DI198" s="9">
        <v>0</v>
      </c>
      <c r="DJ198" s="9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</row>
    <row r="199" spans="3:138" s="5" customFormat="1" x14ac:dyDescent="0.25">
      <c r="C199" s="6"/>
      <c r="D199" s="6" t="s">
        <v>0</v>
      </c>
      <c r="E199" s="7"/>
      <c r="F199" s="8"/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0</v>
      </c>
      <c r="BV199" s="9">
        <v>0</v>
      </c>
      <c r="BW199" s="9">
        <v>0</v>
      </c>
      <c r="BX199" s="9">
        <v>0</v>
      </c>
      <c r="BY199" s="9">
        <v>0</v>
      </c>
      <c r="BZ199" s="9">
        <v>0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  <c r="CN199" s="9">
        <v>0</v>
      </c>
      <c r="CO199" s="9">
        <v>0</v>
      </c>
      <c r="CP199" s="9">
        <v>0</v>
      </c>
      <c r="CQ199" s="9">
        <v>0</v>
      </c>
      <c r="CR199" s="9">
        <v>0</v>
      </c>
      <c r="CS199" s="9">
        <v>0</v>
      </c>
      <c r="CT199" s="9">
        <v>0</v>
      </c>
      <c r="CU199" s="9">
        <v>0</v>
      </c>
      <c r="CV199" s="9">
        <v>0</v>
      </c>
      <c r="CW199" s="9">
        <v>0</v>
      </c>
      <c r="CX199" s="9">
        <v>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</row>
    <row r="200" spans="3:138" s="5" customFormat="1" x14ac:dyDescent="0.25">
      <c r="C200" s="6"/>
      <c r="D200" s="6" t="s">
        <v>0</v>
      </c>
      <c r="E200" s="7"/>
      <c r="F200" s="8"/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0</v>
      </c>
      <c r="BU200" s="9">
        <v>0</v>
      </c>
      <c r="BV200" s="9">
        <v>0</v>
      </c>
      <c r="BW200" s="9">
        <v>0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0</v>
      </c>
      <c r="CY200" s="9">
        <v>0</v>
      </c>
      <c r="CZ200" s="9">
        <v>0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9">
        <v>0</v>
      </c>
      <c r="DG200" s="9">
        <v>0</v>
      </c>
      <c r="DH200" s="9">
        <v>0</v>
      </c>
      <c r="DI200" s="9">
        <v>0</v>
      </c>
      <c r="DJ200" s="9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</row>
    <row r="201" spans="3:138" s="5" customFormat="1" x14ac:dyDescent="0.25">
      <c r="C201" s="6"/>
      <c r="D201" s="6" t="s">
        <v>0</v>
      </c>
      <c r="E201" s="7"/>
      <c r="F201" s="8"/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0</v>
      </c>
      <c r="BU201" s="9">
        <v>0</v>
      </c>
      <c r="BV201" s="9">
        <v>0</v>
      </c>
      <c r="BW201" s="9">
        <v>0</v>
      </c>
      <c r="BX201" s="9">
        <v>0</v>
      </c>
      <c r="BY201" s="9">
        <v>0</v>
      </c>
      <c r="BZ201" s="9">
        <v>0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0</v>
      </c>
      <c r="CS201" s="9">
        <v>0</v>
      </c>
      <c r="CT201" s="9">
        <v>0</v>
      </c>
      <c r="CU201" s="9">
        <v>0</v>
      </c>
      <c r="CV201" s="9">
        <v>0</v>
      </c>
      <c r="CW201" s="9">
        <v>0</v>
      </c>
      <c r="CX201" s="9">
        <v>0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9">
        <v>0</v>
      </c>
      <c r="DG201" s="9">
        <v>0</v>
      </c>
      <c r="DH201" s="9">
        <v>0</v>
      </c>
      <c r="DI201" s="9">
        <v>0</v>
      </c>
      <c r="DJ201" s="9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</row>
    <row r="202" spans="3:138" s="5" customFormat="1" x14ac:dyDescent="0.25">
      <c r="C202" s="6"/>
      <c r="D202" s="6" t="s">
        <v>0</v>
      </c>
      <c r="E202" s="7"/>
      <c r="F202" s="8"/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0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0</v>
      </c>
      <c r="CV202" s="9">
        <v>0</v>
      </c>
      <c r="CW202" s="9">
        <v>0</v>
      </c>
      <c r="CX202" s="9">
        <v>0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9">
        <v>0</v>
      </c>
      <c r="DG202" s="9">
        <v>0</v>
      </c>
      <c r="DH202" s="9">
        <v>0</v>
      </c>
      <c r="DI202" s="9">
        <v>0</v>
      </c>
      <c r="DJ202" s="9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</row>
    <row r="203" spans="3:138" s="5" customFormat="1" x14ac:dyDescent="0.25">
      <c r="C203" s="6"/>
      <c r="D203" s="6" t="s">
        <v>0</v>
      </c>
      <c r="E203" s="7"/>
      <c r="F203" s="8"/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0</v>
      </c>
      <c r="BS203" s="9">
        <v>0</v>
      </c>
      <c r="BT203" s="9">
        <v>0</v>
      </c>
      <c r="BU203" s="9">
        <v>0</v>
      </c>
      <c r="BV203" s="9">
        <v>0</v>
      </c>
      <c r="BW203" s="9">
        <v>0</v>
      </c>
      <c r="BX203" s="9">
        <v>0</v>
      </c>
      <c r="BY203" s="9">
        <v>0</v>
      </c>
      <c r="BZ203" s="9">
        <v>0</v>
      </c>
      <c r="CA203" s="9">
        <v>0</v>
      </c>
      <c r="CB203" s="9">
        <v>0</v>
      </c>
      <c r="CC203" s="9">
        <v>0</v>
      </c>
      <c r="CD203" s="9">
        <v>0</v>
      </c>
      <c r="CE203" s="9">
        <v>0</v>
      </c>
      <c r="CF203" s="9">
        <v>0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0</v>
      </c>
      <c r="CS203" s="9">
        <v>0</v>
      </c>
      <c r="CT203" s="9">
        <v>0</v>
      </c>
      <c r="CU203" s="9">
        <v>0</v>
      </c>
      <c r="CV203" s="9">
        <v>0</v>
      </c>
      <c r="CW203" s="9">
        <v>0</v>
      </c>
      <c r="CX203" s="9">
        <v>0</v>
      </c>
      <c r="CY203" s="9">
        <v>0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9">
        <v>0</v>
      </c>
      <c r="DG203" s="9">
        <v>0</v>
      </c>
      <c r="DH203" s="9">
        <v>0</v>
      </c>
      <c r="DI203" s="9">
        <v>0</v>
      </c>
      <c r="DJ203" s="9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</row>
    <row r="204" spans="3:138" s="5" customFormat="1" x14ac:dyDescent="0.25">
      <c r="C204" s="6"/>
      <c r="D204" s="6" t="s">
        <v>0</v>
      </c>
      <c r="E204" s="7"/>
      <c r="F204" s="8"/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0</v>
      </c>
      <c r="BT204" s="9">
        <v>0</v>
      </c>
      <c r="BU204" s="9">
        <v>0</v>
      </c>
      <c r="BV204" s="9">
        <v>0</v>
      </c>
      <c r="BW204" s="9">
        <v>0</v>
      </c>
      <c r="BX204" s="9">
        <v>0</v>
      </c>
      <c r="BY204" s="9">
        <v>0</v>
      </c>
      <c r="BZ204" s="9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0</v>
      </c>
      <c r="CS204" s="9">
        <v>0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9">
        <v>0</v>
      </c>
      <c r="DG204" s="9">
        <v>0</v>
      </c>
      <c r="DH204" s="9">
        <v>0</v>
      </c>
      <c r="DI204" s="9">
        <v>0</v>
      </c>
      <c r="DJ204" s="9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</row>
    <row r="205" spans="3:138" s="5" customFormat="1" x14ac:dyDescent="0.25">
      <c r="C205" s="6"/>
      <c r="D205" s="6" t="s">
        <v>0</v>
      </c>
      <c r="E205" s="7"/>
      <c r="F205" s="8"/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  <c r="BW205" s="9">
        <v>0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0</v>
      </c>
      <c r="CS205" s="9">
        <v>0</v>
      </c>
      <c r="CT205" s="9">
        <v>0</v>
      </c>
      <c r="CU205" s="9">
        <v>0</v>
      </c>
      <c r="CV205" s="9">
        <v>0</v>
      </c>
      <c r="CW205" s="9">
        <v>0</v>
      </c>
      <c r="CX205" s="9">
        <v>0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9">
        <v>0</v>
      </c>
      <c r="DG205" s="9">
        <v>0</v>
      </c>
      <c r="DH205" s="9">
        <v>0</v>
      </c>
      <c r="DI205" s="9">
        <v>0</v>
      </c>
      <c r="DJ205" s="9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</row>
    <row r="206" spans="3:138" s="5" customFormat="1" x14ac:dyDescent="0.25">
      <c r="C206" s="6"/>
      <c r="D206" s="6" t="s">
        <v>0</v>
      </c>
      <c r="E206" s="7"/>
      <c r="F206" s="8"/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0</v>
      </c>
      <c r="BU206" s="9">
        <v>0</v>
      </c>
      <c r="BV206" s="9">
        <v>0</v>
      </c>
      <c r="BW206" s="9">
        <v>0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0</v>
      </c>
      <c r="CQ206" s="9">
        <v>0</v>
      </c>
      <c r="CR206" s="9">
        <v>0</v>
      </c>
      <c r="CS206" s="9">
        <v>0</v>
      </c>
      <c r="CT206" s="9">
        <v>0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</row>
    <row r="207" spans="3:138" s="5" customFormat="1" x14ac:dyDescent="0.25">
      <c r="C207" s="6"/>
      <c r="D207" s="6" t="s">
        <v>0</v>
      </c>
      <c r="E207" s="7"/>
      <c r="F207" s="8"/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</row>
    <row r="208" spans="3:138" s="5" customFormat="1" x14ac:dyDescent="0.25">
      <c r="C208" s="6"/>
      <c r="D208" s="6" t="s">
        <v>0</v>
      </c>
      <c r="E208" s="7"/>
      <c r="F208" s="8"/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0</v>
      </c>
      <c r="BX208" s="9">
        <v>0</v>
      </c>
      <c r="BY208" s="9">
        <v>0</v>
      </c>
      <c r="BZ208" s="9">
        <v>0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0</v>
      </c>
      <c r="CS208" s="9">
        <v>0</v>
      </c>
      <c r="CT208" s="9">
        <v>0</v>
      </c>
      <c r="CU208" s="9">
        <v>0</v>
      </c>
      <c r="CV208" s="9">
        <v>0</v>
      </c>
      <c r="CW208" s="9">
        <v>0</v>
      </c>
      <c r="CX208" s="9">
        <v>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0</v>
      </c>
      <c r="DG208" s="9">
        <v>0</v>
      </c>
      <c r="DH208" s="9">
        <v>0</v>
      </c>
      <c r="DI208" s="9">
        <v>0</v>
      </c>
      <c r="DJ208" s="9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</row>
    <row r="209" spans="3:138" s="5" customFormat="1" x14ac:dyDescent="0.25">
      <c r="C209" s="6"/>
      <c r="D209" s="6" t="s">
        <v>0</v>
      </c>
      <c r="E209" s="7"/>
      <c r="F209" s="8"/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0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0</v>
      </c>
      <c r="BX209" s="9">
        <v>0</v>
      </c>
      <c r="BY209" s="9">
        <v>0</v>
      </c>
      <c r="BZ209" s="9">
        <v>0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0</v>
      </c>
      <c r="CS209" s="9">
        <v>0</v>
      </c>
      <c r="CT209" s="9">
        <v>0</v>
      </c>
      <c r="CU209" s="9">
        <v>0</v>
      </c>
      <c r="CV209" s="9">
        <v>0</v>
      </c>
      <c r="CW209" s="9">
        <v>0</v>
      </c>
      <c r="CX209" s="9">
        <v>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9">
        <v>0</v>
      </c>
      <c r="DG209" s="9">
        <v>0</v>
      </c>
      <c r="DH209" s="9">
        <v>0</v>
      </c>
      <c r="DI209" s="9">
        <v>0</v>
      </c>
      <c r="DJ209" s="9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</row>
    <row r="210" spans="3:138" s="5" customFormat="1" x14ac:dyDescent="0.25">
      <c r="C210" s="6"/>
      <c r="D210" s="6" t="s">
        <v>0</v>
      </c>
      <c r="E210" s="7"/>
      <c r="F210" s="8"/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  <c r="BO210" s="9">
        <v>0</v>
      </c>
      <c r="BP210" s="9">
        <v>0</v>
      </c>
      <c r="BQ210" s="9">
        <v>0</v>
      </c>
      <c r="BR210" s="9">
        <v>0</v>
      </c>
      <c r="BS210" s="9">
        <v>0</v>
      </c>
      <c r="BT210" s="9">
        <v>0</v>
      </c>
      <c r="BU210" s="9">
        <v>0</v>
      </c>
      <c r="BV210" s="9">
        <v>0</v>
      </c>
      <c r="BW210" s="9">
        <v>0</v>
      </c>
      <c r="BX210" s="9">
        <v>0</v>
      </c>
      <c r="BY210" s="9">
        <v>0</v>
      </c>
      <c r="BZ210" s="9">
        <v>0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9">
        <v>0</v>
      </c>
      <c r="DG210" s="9">
        <v>0</v>
      </c>
      <c r="DH210" s="9">
        <v>0</v>
      </c>
      <c r="DI210" s="9">
        <v>0</v>
      </c>
      <c r="DJ210" s="9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</row>
    <row r="211" spans="3:138" s="5" customFormat="1" x14ac:dyDescent="0.25">
      <c r="C211" s="6"/>
      <c r="D211" s="6" t="s">
        <v>0</v>
      </c>
      <c r="E211" s="7"/>
      <c r="F211" s="8"/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0</v>
      </c>
      <c r="BT211" s="9">
        <v>0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R211" s="9">
        <v>0</v>
      </c>
      <c r="CS211" s="9">
        <v>0</v>
      </c>
      <c r="CT211" s="9">
        <v>0</v>
      </c>
      <c r="CU211" s="9">
        <v>0</v>
      </c>
      <c r="CV211" s="9">
        <v>0</v>
      </c>
      <c r="CW211" s="9">
        <v>0</v>
      </c>
      <c r="CX211" s="9">
        <v>0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9">
        <v>0</v>
      </c>
      <c r="DG211" s="9">
        <v>0</v>
      </c>
      <c r="DH211" s="9">
        <v>0</v>
      </c>
      <c r="DI211" s="9">
        <v>0</v>
      </c>
      <c r="DJ211" s="9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</row>
    <row r="212" spans="3:138" s="5" customFormat="1" x14ac:dyDescent="0.25">
      <c r="C212" s="6"/>
      <c r="D212" s="6" t="s">
        <v>0</v>
      </c>
      <c r="E212" s="7"/>
      <c r="F212" s="8"/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0</v>
      </c>
      <c r="BX212" s="9">
        <v>0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</row>
    <row r="213" spans="3:138" s="5" customFormat="1" x14ac:dyDescent="0.25">
      <c r="C213" s="6"/>
      <c r="D213" s="6" t="s">
        <v>0</v>
      </c>
      <c r="E213" s="7"/>
      <c r="F213" s="8"/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0</v>
      </c>
      <c r="AX213" s="9">
        <v>0</v>
      </c>
      <c r="AY213" s="9">
        <v>0</v>
      </c>
      <c r="AZ213" s="9">
        <v>0</v>
      </c>
      <c r="BA213" s="9">
        <v>0</v>
      </c>
      <c r="BB213" s="9">
        <v>0</v>
      </c>
      <c r="BC213" s="9">
        <v>0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  <c r="BO213" s="9">
        <v>0</v>
      </c>
      <c r="BP213" s="9">
        <v>0</v>
      </c>
      <c r="BQ213" s="9">
        <v>0</v>
      </c>
      <c r="BR213" s="9">
        <v>0</v>
      </c>
      <c r="BS213" s="9">
        <v>0</v>
      </c>
      <c r="BT213" s="9">
        <v>0</v>
      </c>
      <c r="BU213" s="9">
        <v>0</v>
      </c>
      <c r="BV213" s="9">
        <v>0</v>
      </c>
      <c r="BW213" s="9">
        <v>0</v>
      </c>
      <c r="BX213" s="9">
        <v>0</v>
      </c>
      <c r="BY213" s="9">
        <v>0</v>
      </c>
      <c r="BZ213" s="9">
        <v>0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>
        <v>0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9">
        <v>0</v>
      </c>
      <c r="DG213" s="9">
        <v>0</v>
      </c>
      <c r="DH213" s="9">
        <v>0</v>
      </c>
      <c r="DI213" s="9">
        <v>0</v>
      </c>
      <c r="DJ213" s="9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</row>
    <row r="214" spans="3:138" s="5" customFormat="1" x14ac:dyDescent="0.25">
      <c r="C214" s="6"/>
      <c r="D214" s="6" t="s">
        <v>0</v>
      </c>
      <c r="E214" s="7"/>
      <c r="F214" s="8"/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0</v>
      </c>
      <c r="BR214" s="9">
        <v>0</v>
      </c>
      <c r="BS214" s="9">
        <v>0</v>
      </c>
      <c r="BT214" s="9">
        <v>0</v>
      </c>
      <c r="BU214" s="9">
        <v>0</v>
      </c>
      <c r="BV214" s="9">
        <v>0</v>
      </c>
      <c r="BW214" s="9">
        <v>0</v>
      </c>
      <c r="BX214" s="9">
        <v>0</v>
      </c>
      <c r="BY214" s="9">
        <v>0</v>
      </c>
      <c r="BZ214" s="9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0</v>
      </c>
      <c r="CS214" s="9">
        <v>0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>
        <v>0</v>
      </c>
      <c r="DG214" s="9">
        <v>0</v>
      </c>
      <c r="DH214" s="9">
        <v>0</v>
      </c>
      <c r="DI214" s="9">
        <v>0</v>
      </c>
      <c r="DJ214" s="9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</row>
    <row r="215" spans="3:138" s="5" customFormat="1" x14ac:dyDescent="0.25">
      <c r="C215" s="6"/>
      <c r="D215" s="6" t="s">
        <v>0</v>
      </c>
      <c r="E215" s="7"/>
      <c r="F215" s="8"/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</row>
    <row r="216" spans="3:138" s="5" customFormat="1" x14ac:dyDescent="0.25">
      <c r="C216" s="6"/>
      <c r="D216" s="6" t="s">
        <v>0</v>
      </c>
      <c r="E216" s="7"/>
      <c r="F216" s="8"/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0</v>
      </c>
      <c r="DG216" s="9">
        <v>0</v>
      </c>
      <c r="DH216" s="9">
        <v>0</v>
      </c>
      <c r="DI216" s="9">
        <v>0</v>
      </c>
      <c r="DJ216" s="9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</row>
    <row r="217" spans="3:138" s="5" customFormat="1" x14ac:dyDescent="0.25">
      <c r="C217" s="6"/>
      <c r="D217" s="6" t="s">
        <v>0</v>
      </c>
      <c r="E217" s="7"/>
      <c r="F217" s="8"/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0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0</v>
      </c>
      <c r="CO217" s="9">
        <v>0</v>
      </c>
      <c r="CP217" s="9">
        <v>0</v>
      </c>
      <c r="CQ217" s="9">
        <v>0</v>
      </c>
      <c r="CR217" s="9">
        <v>0</v>
      </c>
      <c r="CS217" s="9">
        <v>0</v>
      </c>
      <c r="CT217" s="9">
        <v>0</v>
      </c>
      <c r="CU217" s="9">
        <v>0</v>
      </c>
      <c r="CV217" s="9">
        <v>0</v>
      </c>
      <c r="CW217" s="9">
        <v>0</v>
      </c>
      <c r="CX217" s="9">
        <v>0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9">
        <v>0</v>
      </c>
      <c r="DG217" s="9">
        <v>0</v>
      </c>
      <c r="DH217" s="9">
        <v>0</v>
      </c>
      <c r="DI217" s="9">
        <v>0</v>
      </c>
      <c r="DJ217" s="9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</row>
    <row r="218" spans="3:138" s="5" customFormat="1" x14ac:dyDescent="0.25">
      <c r="C218" s="6"/>
      <c r="D218" s="6" t="s">
        <v>0</v>
      </c>
      <c r="E218" s="7"/>
      <c r="F218" s="8"/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0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0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9">
        <v>0</v>
      </c>
      <c r="DG218" s="9">
        <v>0</v>
      </c>
      <c r="DH218" s="9">
        <v>0</v>
      </c>
      <c r="DI218" s="9">
        <v>0</v>
      </c>
      <c r="DJ218" s="9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</row>
    <row r="219" spans="3:138" s="5" customFormat="1" x14ac:dyDescent="0.25">
      <c r="C219" s="6"/>
      <c r="D219" s="6" t="s">
        <v>0</v>
      </c>
      <c r="E219" s="7"/>
      <c r="F219" s="8"/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0</v>
      </c>
      <c r="CS219" s="9">
        <v>0</v>
      </c>
      <c r="CT219" s="9">
        <v>0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9">
        <v>0</v>
      </c>
      <c r="DG219" s="9">
        <v>0</v>
      </c>
      <c r="DH219" s="9">
        <v>0</v>
      </c>
      <c r="DI219" s="9">
        <v>0</v>
      </c>
      <c r="DJ219" s="9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</row>
    <row r="220" spans="3:138" s="5" customFormat="1" x14ac:dyDescent="0.25">
      <c r="C220" s="6"/>
      <c r="D220" s="6" t="s">
        <v>0</v>
      </c>
      <c r="E220" s="7"/>
      <c r="F220" s="8"/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0</v>
      </c>
      <c r="CV220" s="9">
        <v>0</v>
      </c>
      <c r="CW220" s="9">
        <v>0</v>
      </c>
      <c r="CX220" s="9">
        <v>0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9">
        <v>0</v>
      </c>
      <c r="DG220" s="9">
        <v>0</v>
      </c>
      <c r="DH220" s="9">
        <v>0</v>
      </c>
      <c r="DI220" s="9">
        <v>0</v>
      </c>
      <c r="DJ220" s="9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</row>
    <row r="221" spans="3:138" s="5" customFormat="1" x14ac:dyDescent="0.25">
      <c r="C221" s="6"/>
      <c r="D221" s="6" t="s">
        <v>0</v>
      </c>
      <c r="E221" s="7"/>
      <c r="F221" s="8"/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0</v>
      </c>
      <c r="CS221" s="9">
        <v>0</v>
      </c>
      <c r="CT221" s="9">
        <v>0</v>
      </c>
      <c r="CU221" s="9">
        <v>0</v>
      </c>
      <c r="CV221" s="9">
        <v>0</v>
      </c>
      <c r="CW221" s="9">
        <v>0</v>
      </c>
      <c r="CX221" s="9">
        <v>0</v>
      </c>
      <c r="CY221" s="9">
        <v>0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9">
        <v>0</v>
      </c>
      <c r="DG221" s="9">
        <v>0</v>
      </c>
      <c r="DH221" s="9">
        <v>0</v>
      </c>
      <c r="DI221" s="9">
        <v>0</v>
      </c>
      <c r="DJ221" s="9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</row>
    <row r="222" spans="3:138" s="5" customFormat="1" x14ac:dyDescent="0.25">
      <c r="C222" s="6"/>
      <c r="D222" s="6" t="s">
        <v>0</v>
      </c>
      <c r="E222" s="7"/>
      <c r="F222" s="8"/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9">
        <v>0</v>
      </c>
      <c r="DG222" s="9">
        <v>0</v>
      </c>
      <c r="DH222" s="9">
        <v>0</v>
      </c>
      <c r="DI222" s="9">
        <v>0</v>
      </c>
      <c r="DJ222" s="9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</row>
    <row r="223" spans="3:138" s="5" customFormat="1" x14ac:dyDescent="0.25">
      <c r="C223" s="6"/>
      <c r="D223" s="6" t="s">
        <v>0</v>
      </c>
      <c r="E223" s="7"/>
      <c r="F223" s="8"/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  <c r="CT223" s="9">
        <v>0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9">
        <v>0</v>
      </c>
      <c r="DG223" s="9">
        <v>0</v>
      </c>
      <c r="DH223" s="9">
        <v>0</v>
      </c>
      <c r="DI223" s="9">
        <v>0</v>
      </c>
      <c r="DJ223" s="9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</row>
    <row r="224" spans="3:138" s="5" customFormat="1" x14ac:dyDescent="0.25">
      <c r="C224" s="6"/>
      <c r="D224" s="6" t="s">
        <v>0</v>
      </c>
      <c r="E224" s="7"/>
      <c r="F224" s="8"/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0</v>
      </c>
      <c r="CT224" s="9">
        <v>0</v>
      </c>
      <c r="CU224" s="9">
        <v>0</v>
      </c>
      <c r="CV224" s="9">
        <v>0</v>
      </c>
      <c r="CW224" s="9">
        <v>0</v>
      </c>
      <c r="CX224" s="9">
        <v>0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>
        <v>0</v>
      </c>
      <c r="DG224" s="9">
        <v>0</v>
      </c>
      <c r="DH224" s="9">
        <v>0</v>
      </c>
      <c r="DI224" s="9">
        <v>0</v>
      </c>
      <c r="DJ224" s="9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</row>
    <row r="225" spans="3:138" s="5" customFormat="1" x14ac:dyDescent="0.25">
      <c r="C225" s="6"/>
      <c r="D225" s="6" t="s">
        <v>0</v>
      </c>
      <c r="E225" s="7"/>
      <c r="F225" s="8"/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0</v>
      </c>
      <c r="BU225" s="9">
        <v>0</v>
      </c>
      <c r="BV225" s="9">
        <v>0</v>
      </c>
      <c r="BW225" s="9">
        <v>0</v>
      </c>
      <c r="BX225" s="9">
        <v>0</v>
      </c>
      <c r="BY225" s="9">
        <v>0</v>
      </c>
      <c r="BZ225" s="9">
        <v>0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0</v>
      </c>
      <c r="CQ225" s="9">
        <v>0</v>
      </c>
      <c r="CR225" s="9">
        <v>0</v>
      </c>
      <c r="CS225" s="9">
        <v>0</v>
      </c>
      <c r="CT225" s="9">
        <v>0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9">
        <v>0</v>
      </c>
      <c r="DG225" s="9">
        <v>0</v>
      </c>
      <c r="DH225" s="9">
        <v>0</v>
      </c>
      <c r="DI225" s="9">
        <v>0</v>
      </c>
      <c r="DJ225" s="9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</row>
    <row r="226" spans="3:138" s="5" customFormat="1" x14ac:dyDescent="0.25">
      <c r="C226" s="6"/>
      <c r="D226" s="6" t="s">
        <v>0</v>
      </c>
      <c r="E226" s="7"/>
      <c r="F226" s="8"/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0</v>
      </c>
      <c r="BU226" s="9">
        <v>0</v>
      </c>
      <c r="BV226" s="9">
        <v>0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  <c r="CT226" s="9">
        <v>0</v>
      </c>
      <c r="CU226" s="9">
        <v>0</v>
      </c>
      <c r="CV226" s="9">
        <v>0</v>
      </c>
      <c r="CW226" s="9">
        <v>0</v>
      </c>
      <c r="CX226" s="9">
        <v>0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9">
        <v>0</v>
      </c>
      <c r="DG226" s="9">
        <v>0</v>
      </c>
      <c r="DH226" s="9">
        <v>0</v>
      </c>
      <c r="DI226" s="9">
        <v>0</v>
      </c>
      <c r="DJ226" s="9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</row>
    <row r="227" spans="3:138" s="5" customFormat="1" x14ac:dyDescent="0.25">
      <c r="C227" s="6"/>
      <c r="D227" s="6" t="s">
        <v>0</v>
      </c>
      <c r="E227" s="7"/>
      <c r="F227" s="8"/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0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0</v>
      </c>
      <c r="BU227" s="9">
        <v>0</v>
      </c>
      <c r="BV227" s="9">
        <v>0</v>
      </c>
      <c r="BW227" s="9">
        <v>0</v>
      </c>
      <c r="BX227" s="9">
        <v>0</v>
      </c>
      <c r="BY227" s="9">
        <v>0</v>
      </c>
      <c r="BZ227" s="9">
        <v>0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0</v>
      </c>
      <c r="CP227" s="9">
        <v>0</v>
      </c>
      <c r="CQ227" s="9">
        <v>0</v>
      </c>
      <c r="CR227" s="9">
        <v>0</v>
      </c>
      <c r="CS227" s="9">
        <v>0</v>
      </c>
      <c r="CT227" s="9">
        <v>0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9">
        <v>0</v>
      </c>
      <c r="DG227" s="9">
        <v>0</v>
      </c>
      <c r="DH227" s="9">
        <v>0</v>
      </c>
      <c r="DI227" s="9">
        <v>0</v>
      </c>
      <c r="DJ227" s="9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</row>
    <row r="228" spans="3:138" s="5" customFormat="1" x14ac:dyDescent="0.25">
      <c r="C228" s="6"/>
      <c r="D228" s="6" t="s">
        <v>0</v>
      </c>
      <c r="E228" s="7"/>
      <c r="F228" s="8"/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0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0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0</v>
      </c>
      <c r="DG228" s="9">
        <v>0</v>
      </c>
      <c r="DH228" s="9">
        <v>0</v>
      </c>
      <c r="DI228" s="9">
        <v>0</v>
      </c>
      <c r="DJ228" s="9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</row>
    <row r="229" spans="3:138" s="5" customFormat="1" x14ac:dyDescent="0.25">
      <c r="C229" s="6"/>
      <c r="D229" s="6" t="s">
        <v>0</v>
      </c>
      <c r="E229" s="7"/>
      <c r="F229" s="8"/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0</v>
      </c>
      <c r="CS229" s="9">
        <v>0</v>
      </c>
      <c r="CT229" s="9">
        <v>0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9">
        <v>0</v>
      </c>
      <c r="DG229" s="9">
        <v>0</v>
      </c>
      <c r="DH229" s="9">
        <v>0</v>
      </c>
      <c r="DI229" s="9">
        <v>0</v>
      </c>
      <c r="DJ229" s="9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</row>
    <row r="230" spans="3:138" s="5" customFormat="1" x14ac:dyDescent="0.25">
      <c r="C230" s="6"/>
      <c r="D230" s="6" t="s">
        <v>0</v>
      </c>
      <c r="E230" s="7"/>
      <c r="F230" s="8"/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  <c r="CT230" s="9">
        <v>0</v>
      </c>
      <c r="CU230" s="9">
        <v>0</v>
      </c>
      <c r="CV230" s="9">
        <v>0</v>
      </c>
      <c r="CW230" s="9">
        <v>0</v>
      </c>
      <c r="CX230" s="9">
        <v>0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9">
        <v>0</v>
      </c>
      <c r="DG230" s="9">
        <v>0</v>
      </c>
      <c r="DH230" s="9">
        <v>0</v>
      </c>
      <c r="DI230" s="9">
        <v>0</v>
      </c>
      <c r="DJ230" s="9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</row>
    <row r="231" spans="3:138" s="5" customFormat="1" x14ac:dyDescent="0.25">
      <c r="C231" s="6"/>
      <c r="D231" s="6" t="s">
        <v>0</v>
      </c>
      <c r="E231" s="7"/>
      <c r="F231" s="8"/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0</v>
      </c>
      <c r="BU231" s="9">
        <v>0</v>
      </c>
      <c r="BV231" s="9">
        <v>0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</row>
    <row r="232" spans="3:138" s="5" customFormat="1" x14ac:dyDescent="0.25">
      <c r="C232" s="6"/>
      <c r="D232" s="6" t="s">
        <v>0</v>
      </c>
      <c r="E232" s="7"/>
      <c r="F232" s="8"/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0</v>
      </c>
      <c r="CU232" s="9">
        <v>0</v>
      </c>
      <c r="CV232" s="9">
        <v>0</v>
      </c>
      <c r="CW232" s="9">
        <v>0</v>
      </c>
      <c r="CX232" s="9">
        <v>0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9">
        <v>0</v>
      </c>
      <c r="DG232" s="9">
        <v>0</v>
      </c>
      <c r="DH232" s="9">
        <v>0</v>
      </c>
      <c r="DI232" s="9">
        <v>0</v>
      </c>
      <c r="DJ232" s="9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</row>
    <row r="233" spans="3:138" s="5" customFormat="1" x14ac:dyDescent="0.25">
      <c r="C233" s="6"/>
      <c r="D233" s="6" t="s">
        <v>0</v>
      </c>
      <c r="E233" s="7"/>
      <c r="F233" s="8"/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  <c r="CT233" s="9">
        <v>0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9">
        <v>0</v>
      </c>
      <c r="DG233" s="9">
        <v>0</v>
      </c>
      <c r="DH233" s="9">
        <v>0</v>
      </c>
      <c r="DI233" s="9">
        <v>0</v>
      </c>
      <c r="DJ233" s="9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</row>
    <row r="234" spans="3:138" s="5" customFormat="1" x14ac:dyDescent="0.25">
      <c r="C234" s="6"/>
      <c r="D234" s="6" t="s">
        <v>0</v>
      </c>
      <c r="E234" s="7"/>
      <c r="F234" s="8"/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0</v>
      </c>
      <c r="BU234" s="9">
        <v>0</v>
      </c>
      <c r="BV234" s="9">
        <v>0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0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9">
        <v>0</v>
      </c>
      <c r="DG234" s="9">
        <v>0</v>
      </c>
      <c r="DH234" s="9">
        <v>0</v>
      </c>
      <c r="DI234" s="9">
        <v>0</v>
      </c>
      <c r="DJ234" s="9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</row>
    <row r="235" spans="3:138" s="5" customFormat="1" x14ac:dyDescent="0.25">
      <c r="C235" s="6"/>
      <c r="D235" s="6" t="s">
        <v>0</v>
      </c>
      <c r="E235" s="7"/>
      <c r="F235" s="8"/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0</v>
      </c>
      <c r="BU235" s="9">
        <v>0</v>
      </c>
      <c r="BV235" s="9">
        <v>0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0</v>
      </c>
      <c r="CR235" s="9">
        <v>0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9">
        <v>0</v>
      </c>
      <c r="DG235" s="9">
        <v>0</v>
      </c>
      <c r="DH235" s="9">
        <v>0</v>
      </c>
      <c r="DI235" s="9">
        <v>0</v>
      </c>
      <c r="DJ235" s="9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</row>
    <row r="236" spans="3:138" s="5" customFormat="1" x14ac:dyDescent="0.25">
      <c r="C236" s="6"/>
      <c r="D236" s="6" t="s">
        <v>0</v>
      </c>
      <c r="E236" s="7"/>
      <c r="F236" s="8"/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0</v>
      </c>
      <c r="BU236" s="9">
        <v>0</v>
      </c>
      <c r="BV236" s="9">
        <v>0</v>
      </c>
      <c r="BW236" s="9">
        <v>0</v>
      </c>
      <c r="BX236" s="9">
        <v>0</v>
      </c>
      <c r="BY236" s="9">
        <v>0</v>
      </c>
      <c r="BZ236" s="9">
        <v>0</v>
      </c>
      <c r="CA236" s="9">
        <v>0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0</v>
      </c>
      <c r="CQ236" s="9">
        <v>0</v>
      </c>
      <c r="CR236" s="9">
        <v>0</v>
      </c>
      <c r="CS236" s="9">
        <v>0</v>
      </c>
      <c r="CT236" s="9">
        <v>0</v>
      </c>
      <c r="CU236" s="9">
        <v>0</v>
      </c>
      <c r="CV236" s="9">
        <v>0</v>
      </c>
      <c r="CW236" s="9">
        <v>0</v>
      </c>
      <c r="CX236" s="9">
        <v>0</v>
      </c>
      <c r="CY236" s="9">
        <v>0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9">
        <v>0</v>
      </c>
      <c r="DG236" s="9">
        <v>0</v>
      </c>
      <c r="DH236" s="9">
        <v>0</v>
      </c>
      <c r="DI236" s="9">
        <v>0</v>
      </c>
      <c r="DJ236" s="9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</row>
    <row r="237" spans="3:138" s="5" customFormat="1" x14ac:dyDescent="0.25">
      <c r="C237" s="6"/>
      <c r="D237" s="6" t="s">
        <v>0</v>
      </c>
      <c r="E237" s="7"/>
      <c r="F237" s="8"/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0</v>
      </c>
      <c r="BP237" s="9">
        <v>0</v>
      </c>
      <c r="BQ237" s="9">
        <v>0</v>
      </c>
      <c r="BR237" s="9">
        <v>0</v>
      </c>
      <c r="BS237" s="9">
        <v>0</v>
      </c>
      <c r="BT237" s="9">
        <v>0</v>
      </c>
      <c r="BU237" s="9">
        <v>0</v>
      </c>
      <c r="BV237" s="9">
        <v>0</v>
      </c>
      <c r="BW237" s="9">
        <v>0</v>
      </c>
      <c r="BX237" s="9">
        <v>0</v>
      </c>
      <c r="BY237" s="9">
        <v>0</v>
      </c>
      <c r="BZ237" s="9">
        <v>0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  <c r="CO237" s="9">
        <v>0</v>
      </c>
      <c r="CP237" s="9">
        <v>0</v>
      </c>
      <c r="CQ237" s="9">
        <v>0</v>
      </c>
      <c r="CR237" s="9">
        <v>0</v>
      </c>
      <c r="CS237" s="9">
        <v>0</v>
      </c>
      <c r="CT237" s="9">
        <v>0</v>
      </c>
      <c r="CU237" s="9">
        <v>0</v>
      </c>
      <c r="CV237" s="9">
        <v>0</v>
      </c>
      <c r="CW237" s="9">
        <v>0</v>
      </c>
      <c r="CX237" s="9">
        <v>0</v>
      </c>
      <c r="CY237" s="9">
        <v>0</v>
      </c>
      <c r="CZ237" s="9">
        <v>0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9">
        <v>0</v>
      </c>
      <c r="DG237" s="9">
        <v>0</v>
      </c>
      <c r="DH237" s="9">
        <v>0</v>
      </c>
      <c r="DI237" s="9">
        <v>0</v>
      </c>
      <c r="DJ237" s="9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</row>
    <row r="238" spans="3:138" s="5" customFormat="1" x14ac:dyDescent="0.25">
      <c r="C238" s="6"/>
      <c r="D238" s="6" t="s">
        <v>0</v>
      </c>
      <c r="E238" s="7"/>
      <c r="F238" s="8"/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0</v>
      </c>
      <c r="BV238" s="9">
        <v>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0</v>
      </c>
      <c r="CV238" s="9">
        <v>0</v>
      </c>
      <c r="CW238" s="9">
        <v>0</v>
      </c>
      <c r="CX238" s="9">
        <v>0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9">
        <v>0</v>
      </c>
      <c r="DG238" s="9">
        <v>0</v>
      </c>
      <c r="DH238" s="9">
        <v>0</v>
      </c>
      <c r="DI238" s="9">
        <v>0</v>
      </c>
      <c r="DJ238" s="9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</row>
    <row r="239" spans="3:138" s="5" customFormat="1" x14ac:dyDescent="0.25">
      <c r="C239" s="6"/>
      <c r="D239" s="6" t="s">
        <v>0</v>
      </c>
      <c r="E239" s="7"/>
      <c r="F239" s="8"/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0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</v>
      </c>
      <c r="DG239" s="9">
        <v>0</v>
      </c>
      <c r="DH239" s="9">
        <v>0</v>
      </c>
      <c r="DI239" s="9">
        <v>0</v>
      </c>
      <c r="DJ239" s="9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</row>
    <row r="240" spans="3:138" s="5" customFormat="1" x14ac:dyDescent="0.25">
      <c r="C240" s="6"/>
      <c r="D240" s="6" t="s">
        <v>0</v>
      </c>
      <c r="E240" s="7"/>
      <c r="F240" s="8"/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0</v>
      </c>
      <c r="BU240" s="9">
        <v>0</v>
      </c>
      <c r="BV240" s="9">
        <v>0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9">
        <v>0</v>
      </c>
      <c r="DG240" s="9">
        <v>0</v>
      </c>
      <c r="DH240" s="9">
        <v>0</v>
      </c>
      <c r="DI240" s="9">
        <v>0</v>
      </c>
      <c r="DJ240" s="9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</row>
    <row r="241" spans="3:138" s="5" customFormat="1" x14ac:dyDescent="0.25">
      <c r="C241" s="6"/>
      <c r="D241" s="6" t="s">
        <v>0</v>
      </c>
      <c r="E241" s="7"/>
      <c r="F241" s="8"/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0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0</v>
      </c>
      <c r="DG241" s="9">
        <v>0</v>
      </c>
      <c r="DH241" s="9">
        <v>0</v>
      </c>
      <c r="DI241" s="9">
        <v>0</v>
      </c>
      <c r="DJ241" s="9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</row>
    <row r="242" spans="3:138" s="5" customFormat="1" x14ac:dyDescent="0.25">
      <c r="C242" s="6"/>
      <c r="D242" s="6" t="s">
        <v>0</v>
      </c>
      <c r="E242" s="7"/>
      <c r="F242" s="8"/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  <c r="BO242" s="9">
        <v>0</v>
      </c>
      <c r="BP242" s="9">
        <v>0</v>
      </c>
      <c r="BQ242" s="9">
        <v>0</v>
      </c>
      <c r="BR242" s="9">
        <v>0</v>
      </c>
      <c r="BS242" s="9">
        <v>0</v>
      </c>
      <c r="BT242" s="9">
        <v>0</v>
      </c>
      <c r="BU242" s="9">
        <v>0</v>
      </c>
      <c r="BV242" s="9">
        <v>0</v>
      </c>
      <c r="BW242" s="9">
        <v>0</v>
      </c>
      <c r="BX242" s="9">
        <v>0</v>
      </c>
      <c r="BY242" s="9">
        <v>0</v>
      </c>
      <c r="BZ242" s="9">
        <v>0</v>
      </c>
      <c r="CA242" s="9">
        <v>0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0</v>
      </c>
      <c r="CP242" s="9">
        <v>0</v>
      </c>
      <c r="CQ242" s="9">
        <v>0</v>
      </c>
      <c r="CR242" s="9">
        <v>0</v>
      </c>
      <c r="CS242" s="9">
        <v>0</v>
      </c>
      <c r="CT242" s="9">
        <v>0</v>
      </c>
      <c r="CU242" s="9">
        <v>0</v>
      </c>
      <c r="CV242" s="9">
        <v>0</v>
      </c>
      <c r="CW242" s="9">
        <v>0</v>
      </c>
      <c r="CX242" s="9">
        <v>0</v>
      </c>
      <c r="CY242" s="9">
        <v>0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9">
        <v>0</v>
      </c>
      <c r="DG242" s="9">
        <v>0</v>
      </c>
      <c r="DH242" s="9">
        <v>0</v>
      </c>
      <c r="DI242" s="9">
        <v>0</v>
      </c>
      <c r="DJ242" s="9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</row>
    <row r="243" spans="3:138" s="5" customFormat="1" x14ac:dyDescent="0.25">
      <c r="C243" s="6"/>
      <c r="D243" s="6" t="s">
        <v>0</v>
      </c>
      <c r="E243" s="7"/>
      <c r="F243" s="8"/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0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0</v>
      </c>
      <c r="BU243" s="9">
        <v>0</v>
      </c>
      <c r="BV243" s="9">
        <v>0</v>
      </c>
      <c r="BW243" s="9">
        <v>0</v>
      </c>
      <c r="BX243" s="9">
        <v>0</v>
      </c>
      <c r="BY243" s="9">
        <v>0</v>
      </c>
      <c r="BZ243" s="9">
        <v>0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0</v>
      </c>
      <c r="CP243" s="9">
        <v>0</v>
      </c>
      <c r="CQ243" s="9">
        <v>0</v>
      </c>
      <c r="CR243" s="9">
        <v>0</v>
      </c>
      <c r="CS243" s="9">
        <v>0</v>
      </c>
      <c r="CT243" s="9">
        <v>0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9">
        <v>0</v>
      </c>
      <c r="DG243" s="9">
        <v>0</v>
      </c>
      <c r="DH243" s="9">
        <v>0</v>
      </c>
      <c r="DI243" s="9">
        <v>0</v>
      </c>
      <c r="DJ243" s="9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</row>
    <row r="244" spans="3:138" s="5" customFormat="1" x14ac:dyDescent="0.25">
      <c r="C244" s="6"/>
      <c r="D244" s="6" t="s">
        <v>0</v>
      </c>
      <c r="E244" s="7"/>
      <c r="F244" s="8"/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0</v>
      </c>
      <c r="BB244" s="9">
        <v>0</v>
      </c>
      <c r="BC244" s="9">
        <v>0</v>
      </c>
      <c r="BD244" s="9">
        <v>0</v>
      </c>
      <c r="BE244" s="9">
        <v>0</v>
      </c>
      <c r="BF244" s="9">
        <v>0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0</v>
      </c>
      <c r="BU244" s="9">
        <v>0</v>
      </c>
      <c r="BV244" s="9">
        <v>0</v>
      </c>
      <c r="BW244" s="9">
        <v>0</v>
      </c>
      <c r="BX244" s="9">
        <v>0</v>
      </c>
      <c r="BY244" s="9">
        <v>0</v>
      </c>
      <c r="BZ244" s="9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0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9">
        <v>0</v>
      </c>
      <c r="DG244" s="9">
        <v>0</v>
      </c>
      <c r="DH244" s="9">
        <v>0</v>
      </c>
      <c r="DI244" s="9">
        <v>0</v>
      </c>
      <c r="DJ244" s="9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</row>
    <row r="245" spans="3:138" s="5" customFormat="1" x14ac:dyDescent="0.25">
      <c r="C245" s="6"/>
      <c r="D245" s="6" t="s">
        <v>0</v>
      </c>
      <c r="E245" s="7"/>
      <c r="F245" s="8"/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0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</row>
    <row r="246" spans="3:138" s="5" customFormat="1" x14ac:dyDescent="0.25">
      <c r="C246" s="6"/>
      <c r="D246" s="6" t="s">
        <v>0</v>
      </c>
      <c r="E246" s="7"/>
      <c r="F246" s="8"/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0</v>
      </c>
      <c r="BB246" s="9">
        <v>0</v>
      </c>
      <c r="BC246" s="9">
        <v>0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0</v>
      </c>
      <c r="BU246" s="9">
        <v>0</v>
      </c>
      <c r="BV246" s="9">
        <v>0</v>
      </c>
      <c r="BW246" s="9">
        <v>0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0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9">
        <v>0</v>
      </c>
      <c r="DG246" s="9">
        <v>0</v>
      </c>
      <c r="DH246" s="9">
        <v>0</v>
      </c>
      <c r="DI246" s="9">
        <v>0</v>
      </c>
      <c r="DJ246" s="9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</row>
    <row r="247" spans="3:138" s="5" customFormat="1" x14ac:dyDescent="0.25">
      <c r="C247" s="6"/>
      <c r="D247" s="6" t="s">
        <v>0</v>
      </c>
      <c r="E247" s="7"/>
      <c r="F247" s="8"/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</row>
    <row r="248" spans="3:138" s="5" customFormat="1" x14ac:dyDescent="0.25">
      <c r="C248" s="6"/>
      <c r="D248" s="6" t="s">
        <v>0</v>
      </c>
      <c r="E248" s="7"/>
      <c r="F248" s="8"/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</row>
    <row r="249" spans="3:138" s="5" customFormat="1" x14ac:dyDescent="0.25">
      <c r="C249" s="6"/>
      <c r="D249" s="6" t="s">
        <v>0</v>
      </c>
      <c r="E249" s="7"/>
      <c r="F249" s="8"/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</row>
    <row r="250" spans="3:138" s="5" customFormat="1" x14ac:dyDescent="0.25">
      <c r="C250" s="6"/>
      <c r="D250" s="6" t="s">
        <v>0</v>
      </c>
      <c r="E250" s="7"/>
      <c r="F250" s="8"/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0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>
        <v>0</v>
      </c>
      <c r="DG250" s="9">
        <v>0</v>
      </c>
      <c r="DH250" s="9">
        <v>0</v>
      </c>
      <c r="DI250" s="9">
        <v>0</v>
      </c>
      <c r="DJ250" s="9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</row>
    <row r="251" spans="3:138" s="5" customFormat="1" x14ac:dyDescent="0.25">
      <c r="C251" s="6"/>
      <c r="D251" s="6" t="s">
        <v>0</v>
      </c>
      <c r="E251" s="7"/>
      <c r="F251" s="8"/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9">
        <v>0</v>
      </c>
      <c r="DG251" s="9">
        <v>0</v>
      </c>
      <c r="DH251" s="9">
        <v>0</v>
      </c>
      <c r="DI251" s="9">
        <v>0</v>
      </c>
      <c r="DJ251" s="9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</row>
    <row r="252" spans="3:138" s="5" customFormat="1" x14ac:dyDescent="0.25">
      <c r="C252" s="6"/>
      <c r="D252" s="6" t="s">
        <v>0</v>
      </c>
      <c r="E252" s="7"/>
      <c r="F252" s="8"/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0</v>
      </c>
      <c r="CU252" s="9">
        <v>0</v>
      </c>
      <c r="CV252" s="9">
        <v>0</v>
      </c>
      <c r="CW252" s="9">
        <v>0</v>
      </c>
      <c r="CX252" s="9">
        <v>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0</v>
      </c>
      <c r="DG252" s="9">
        <v>0</v>
      </c>
      <c r="DH252" s="9">
        <v>0</v>
      </c>
      <c r="DI252" s="9">
        <v>0</v>
      </c>
      <c r="DJ252" s="9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</row>
    <row r="253" spans="3:138" s="5" customFormat="1" x14ac:dyDescent="0.25">
      <c r="C253" s="6"/>
      <c r="D253" s="6" t="s">
        <v>0</v>
      </c>
      <c r="E253" s="7"/>
      <c r="F253" s="8"/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</row>
    <row r="254" spans="3:138" s="5" customFormat="1" x14ac:dyDescent="0.25">
      <c r="C254" s="6"/>
      <c r="D254" s="6" t="s">
        <v>0</v>
      </c>
      <c r="E254" s="7"/>
      <c r="F254" s="8"/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0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0</v>
      </c>
      <c r="DG254" s="9">
        <v>0</v>
      </c>
      <c r="DH254" s="9">
        <v>0</v>
      </c>
      <c r="DI254" s="9">
        <v>0</v>
      </c>
      <c r="DJ254" s="9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</row>
    <row r="255" spans="3:138" s="5" customFormat="1" x14ac:dyDescent="0.25">
      <c r="C255" s="6"/>
      <c r="D255" s="6"/>
      <c r="E255" s="7"/>
      <c r="F255" s="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</row>
    <row r="256" spans="3:138" s="5" customFormat="1" x14ac:dyDescent="0.25">
      <c r="C256" s="6"/>
      <c r="D256" s="6"/>
      <c r="E256" s="7"/>
      <c r="F256" s="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</row>
    <row r="257" spans="3:140" s="5" customFormat="1" x14ac:dyDescent="0.25">
      <c r="C257" s="6"/>
      <c r="D257" s="6"/>
      <c r="E257" s="7"/>
      <c r="F257" s="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</row>
    <row r="258" spans="3:140" s="5" customFormat="1" x14ac:dyDescent="0.25">
      <c r="C258" s="6"/>
      <c r="D258" s="6"/>
      <c r="E258" s="7"/>
      <c r="F258" s="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</row>
    <row r="259" spans="3:140" s="5" customFormat="1" x14ac:dyDescent="0.25">
      <c r="C259" s="6"/>
      <c r="D259" s="6"/>
      <c r="E259" s="7"/>
      <c r="F259" s="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</row>
    <row r="260" spans="3:140" s="5" customFormat="1" x14ac:dyDescent="0.25">
      <c r="C260" s="6"/>
      <c r="D260" s="6"/>
      <c r="E260" s="7"/>
      <c r="F260" s="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</row>
    <row r="261" spans="3:140" customFormat="1" ht="15.75" thickBot="1" x14ac:dyDescent="0.3">
      <c r="D261" s="1" t="s">
        <v>1</v>
      </c>
      <c r="E261" s="2"/>
      <c r="F261" s="1"/>
      <c r="G261" s="1">
        <v>42035</v>
      </c>
      <c r="H261" s="1">
        <f t="shared" ref="H261:BS261" si="3">DATE(YEAR(G261),MONTH(G261)+2,0)</f>
        <v>42063</v>
      </c>
      <c r="I261" s="1">
        <f t="shared" si="3"/>
        <v>42094</v>
      </c>
      <c r="J261" s="1">
        <f t="shared" si="3"/>
        <v>42124</v>
      </c>
      <c r="K261" s="1">
        <f t="shared" si="3"/>
        <v>42155</v>
      </c>
      <c r="L261" s="1">
        <f t="shared" si="3"/>
        <v>42185</v>
      </c>
      <c r="M261" s="1">
        <f t="shared" si="3"/>
        <v>42216</v>
      </c>
      <c r="N261" s="1">
        <f t="shared" si="3"/>
        <v>42247</v>
      </c>
      <c r="O261" s="1">
        <f t="shared" si="3"/>
        <v>42277</v>
      </c>
      <c r="P261" s="1">
        <f t="shared" si="3"/>
        <v>42308</v>
      </c>
      <c r="Q261" s="1">
        <f t="shared" si="3"/>
        <v>42338</v>
      </c>
      <c r="R261" s="1">
        <f t="shared" si="3"/>
        <v>42369</v>
      </c>
      <c r="S261" s="1">
        <f t="shared" si="3"/>
        <v>42400</v>
      </c>
      <c r="T261" s="1">
        <f t="shared" si="3"/>
        <v>42429</v>
      </c>
      <c r="U261" s="1">
        <f t="shared" si="3"/>
        <v>42460</v>
      </c>
      <c r="V261" s="1">
        <f t="shared" si="3"/>
        <v>42490</v>
      </c>
      <c r="W261" s="1">
        <f t="shared" si="3"/>
        <v>42521</v>
      </c>
      <c r="X261" s="1">
        <f t="shared" si="3"/>
        <v>42551</v>
      </c>
      <c r="Y261" s="1">
        <f t="shared" si="3"/>
        <v>42582</v>
      </c>
      <c r="Z261" s="1">
        <f t="shared" si="3"/>
        <v>42613</v>
      </c>
      <c r="AA261" s="1">
        <f t="shared" si="3"/>
        <v>42643</v>
      </c>
      <c r="AB261" s="1">
        <f t="shared" si="3"/>
        <v>42674</v>
      </c>
      <c r="AC261" s="1">
        <f t="shared" si="3"/>
        <v>42704</v>
      </c>
      <c r="AD261" s="1">
        <f t="shared" si="3"/>
        <v>42735</v>
      </c>
      <c r="AE261" s="1">
        <f t="shared" si="3"/>
        <v>42766</v>
      </c>
      <c r="AF261" s="1">
        <f t="shared" si="3"/>
        <v>42794</v>
      </c>
      <c r="AG261" s="1">
        <f t="shared" si="3"/>
        <v>42825</v>
      </c>
      <c r="AH261" s="1">
        <f t="shared" si="3"/>
        <v>42855</v>
      </c>
      <c r="AI261" s="1">
        <f t="shared" si="3"/>
        <v>42886</v>
      </c>
      <c r="AJ261" s="1">
        <f t="shared" si="3"/>
        <v>42916</v>
      </c>
      <c r="AK261" s="1">
        <f t="shared" si="3"/>
        <v>42947</v>
      </c>
      <c r="AL261" s="1">
        <f t="shared" si="3"/>
        <v>42978</v>
      </c>
      <c r="AM261" s="1">
        <f t="shared" si="3"/>
        <v>43008</v>
      </c>
      <c r="AN261" s="1">
        <f t="shared" si="3"/>
        <v>43039</v>
      </c>
      <c r="AO261" s="1">
        <f t="shared" si="3"/>
        <v>43069</v>
      </c>
      <c r="AP261" s="1">
        <f t="shared" si="3"/>
        <v>43100</v>
      </c>
      <c r="AQ261" s="1">
        <f t="shared" si="3"/>
        <v>43131</v>
      </c>
      <c r="AR261" s="1">
        <f t="shared" si="3"/>
        <v>43159</v>
      </c>
      <c r="AS261" s="1">
        <f t="shared" si="3"/>
        <v>43190</v>
      </c>
      <c r="AT261" s="1">
        <f t="shared" si="3"/>
        <v>43220</v>
      </c>
      <c r="AU261" s="1">
        <f t="shared" si="3"/>
        <v>43251</v>
      </c>
      <c r="AV261" s="1">
        <f t="shared" si="3"/>
        <v>43281</v>
      </c>
      <c r="AW261" s="1">
        <f t="shared" si="3"/>
        <v>43312</v>
      </c>
      <c r="AX261" s="1">
        <f t="shared" si="3"/>
        <v>43343</v>
      </c>
      <c r="AY261" s="1">
        <f t="shared" si="3"/>
        <v>43373</v>
      </c>
      <c r="AZ261" s="1">
        <f t="shared" si="3"/>
        <v>43404</v>
      </c>
      <c r="BA261" s="1">
        <f t="shared" si="3"/>
        <v>43434</v>
      </c>
      <c r="BB261" s="1">
        <f t="shared" si="3"/>
        <v>43465</v>
      </c>
      <c r="BC261" s="1">
        <f t="shared" si="3"/>
        <v>43496</v>
      </c>
      <c r="BD261" s="1">
        <f t="shared" si="3"/>
        <v>43524</v>
      </c>
      <c r="BE261" s="1">
        <f t="shared" si="3"/>
        <v>43555</v>
      </c>
      <c r="BF261" s="1">
        <f t="shared" si="3"/>
        <v>43585</v>
      </c>
      <c r="BG261" s="1">
        <f t="shared" si="3"/>
        <v>43616</v>
      </c>
      <c r="BH261" s="1">
        <f t="shared" si="3"/>
        <v>43646</v>
      </c>
      <c r="BI261" s="1">
        <f t="shared" si="3"/>
        <v>43677</v>
      </c>
      <c r="BJ261" s="1">
        <f t="shared" si="3"/>
        <v>43708</v>
      </c>
      <c r="BK261" s="1">
        <f t="shared" si="3"/>
        <v>43738</v>
      </c>
      <c r="BL261" s="1">
        <f t="shared" si="3"/>
        <v>43769</v>
      </c>
      <c r="BM261" s="1">
        <f t="shared" si="3"/>
        <v>43799</v>
      </c>
      <c r="BN261" s="1">
        <f t="shared" si="3"/>
        <v>43830</v>
      </c>
      <c r="BO261" s="1">
        <f>DATE(YEAR(BN261),MONTH(BN261)+2,0)</f>
        <v>43861</v>
      </c>
      <c r="BP261" s="1">
        <f t="shared" si="3"/>
        <v>43890</v>
      </c>
      <c r="BQ261" s="1">
        <f t="shared" si="3"/>
        <v>43921</v>
      </c>
      <c r="BR261" s="1">
        <f t="shared" si="3"/>
        <v>43951</v>
      </c>
      <c r="BS261" s="1">
        <f t="shared" si="3"/>
        <v>43982</v>
      </c>
      <c r="BT261" s="1">
        <f t="shared" ref="BT261:EE261" si="4">DATE(YEAR(BS261),MONTH(BS261)+2,0)</f>
        <v>44012</v>
      </c>
      <c r="BU261" s="1">
        <f t="shared" si="4"/>
        <v>44043</v>
      </c>
      <c r="BV261" s="1">
        <f t="shared" si="4"/>
        <v>44074</v>
      </c>
      <c r="BW261" s="1">
        <f t="shared" si="4"/>
        <v>44104</v>
      </c>
      <c r="BX261" s="1">
        <f t="shared" si="4"/>
        <v>44135</v>
      </c>
      <c r="BY261" s="1">
        <f t="shared" si="4"/>
        <v>44165</v>
      </c>
      <c r="BZ261" s="1">
        <f t="shared" si="4"/>
        <v>44196</v>
      </c>
      <c r="CA261" s="1">
        <f t="shared" si="4"/>
        <v>44227</v>
      </c>
      <c r="CB261" s="1">
        <f t="shared" si="4"/>
        <v>44255</v>
      </c>
      <c r="CC261" s="1">
        <f t="shared" si="4"/>
        <v>44286</v>
      </c>
      <c r="CD261" s="1">
        <f t="shared" si="4"/>
        <v>44316</v>
      </c>
      <c r="CE261" s="1">
        <f t="shared" si="4"/>
        <v>44347</v>
      </c>
      <c r="CF261" s="1">
        <f t="shared" si="4"/>
        <v>44377</v>
      </c>
      <c r="CG261" s="1">
        <f t="shared" si="4"/>
        <v>44408</v>
      </c>
      <c r="CH261" s="1">
        <f t="shared" si="4"/>
        <v>44439</v>
      </c>
      <c r="CI261" s="1">
        <f t="shared" si="4"/>
        <v>44469</v>
      </c>
      <c r="CJ261" s="1">
        <f t="shared" si="4"/>
        <v>44500</v>
      </c>
      <c r="CK261" s="1">
        <f t="shared" si="4"/>
        <v>44530</v>
      </c>
      <c r="CL261" s="1">
        <f t="shared" si="4"/>
        <v>44561</v>
      </c>
      <c r="CM261" s="1">
        <f t="shared" si="4"/>
        <v>44592</v>
      </c>
      <c r="CN261" s="1">
        <f t="shared" si="4"/>
        <v>44620</v>
      </c>
      <c r="CO261" s="1">
        <f t="shared" si="4"/>
        <v>44651</v>
      </c>
      <c r="CP261" s="1">
        <f t="shared" si="4"/>
        <v>44681</v>
      </c>
      <c r="CQ261" s="1">
        <f t="shared" si="4"/>
        <v>44712</v>
      </c>
      <c r="CR261" s="1">
        <f t="shared" si="4"/>
        <v>44742</v>
      </c>
      <c r="CS261" s="1">
        <f t="shared" si="4"/>
        <v>44773</v>
      </c>
      <c r="CT261" s="1">
        <f t="shared" si="4"/>
        <v>44804</v>
      </c>
      <c r="CU261" s="1">
        <f t="shared" si="4"/>
        <v>44834</v>
      </c>
      <c r="CV261" s="1">
        <f t="shared" si="4"/>
        <v>44865</v>
      </c>
      <c r="CW261" s="1">
        <f t="shared" si="4"/>
        <v>44895</v>
      </c>
      <c r="CX261" s="1">
        <f t="shared" si="4"/>
        <v>44926</v>
      </c>
      <c r="CY261" s="1">
        <f t="shared" si="4"/>
        <v>44957</v>
      </c>
      <c r="CZ261" s="1">
        <f t="shared" si="4"/>
        <v>44985</v>
      </c>
      <c r="DA261" s="1">
        <f t="shared" si="4"/>
        <v>45016</v>
      </c>
      <c r="DB261" s="1">
        <f t="shared" si="4"/>
        <v>45046</v>
      </c>
      <c r="DC261" s="1">
        <f t="shared" si="4"/>
        <v>45077</v>
      </c>
      <c r="DD261" s="1">
        <f t="shared" si="4"/>
        <v>45107</v>
      </c>
      <c r="DE261" s="1">
        <f t="shared" si="4"/>
        <v>45138</v>
      </c>
      <c r="DF261" s="1">
        <f t="shared" si="4"/>
        <v>45169</v>
      </c>
      <c r="DG261" s="1">
        <f t="shared" si="4"/>
        <v>45199</v>
      </c>
      <c r="DH261" s="1">
        <f t="shared" si="4"/>
        <v>45230</v>
      </c>
      <c r="DI261" s="1">
        <f t="shared" si="4"/>
        <v>45260</v>
      </c>
      <c r="DJ261" s="1">
        <f t="shared" si="4"/>
        <v>45291</v>
      </c>
      <c r="DK261" s="1">
        <f t="shared" si="4"/>
        <v>45322</v>
      </c>
      <c r="DL261" s="1">
        <f t="shared" si="4"/>
        <v>45351</v>
      </c>
      <c r="DM261" s="1">
        <f t="shared" si="4"/>
        <v>45382</v>
      </c>
      <c r="DN261" s="1">
        <f t="shared" si="4"/>
        <v>45412</v>
      </c>
      <c r="DO261" s="1">
        <f t="shared" si="4"/>
        <v>45443</v>
      </c>
      <c r="DP261" s="1">
        <f t="shared" si="4"/>
        <v>45473</v>
      </c>
      <c r="DQ261" s="1">
        <f t="shared" si="4"/>
        <v>45504</v>
      </c>
      <c r="DR261" s="1">
        <f t="shared" si="4"/>
        <v>45535</v>
      </c>
      <c r="DS261" s="1">
        <f t="shared" si="4"/>
        <v>45565</v>
      </c>
      <c r="DT261" s="1">
        <f t="shared" si="4"/>
        <v>45596</v>
      </c>
      <c r="DU261" s="1">
        <f t="shared" si="4"/>
        <v>45626</v>
      </c>
      <c r="DV261" s="1">
        <f t="shared" si="4"/>
        <v>45657</v>
      </c>
      <c r="DW261" s="1">
        <f t="shared" si="4"/>
        <v>45688</v>
      </c>
      <c r="DX261" s="1">
        <f t="shared" si="4"/>
        <v>45716</v>
      </c>
      <c r="DY261" s="1">
        <f t="shared" si="4"/>
        <v>45747</v>
      </c>
      <c r="DZ261" s="1">
        <f t="shared" si="4"/>
        <v>45777</v>
      </c>
      <c r="EA261" s="1">
        <f t="shared" si="4"/>
        <v>45808</v>
      </c>
      <c r="EB261" s="1">
        <f t="shared" si="4"/>
        <v>45838</v>
      </c>
      <c r="EC261" s="1">
        <f t="shared" si="4"/>
        <v>45869</v>
      </c>
      <c r="ED261" s="1">
        <f t="shared" si="4"/>
        <v>45900</v>
      </c>
      <c r="EE261" s="1">
        <f t="shared" si="4"/>
        <v>45930</v>
      </c>
      <c r="EF261" s="1">
        <f t="shared" ref="EF261:EH261" si="5">DATE(YEAR(EE261),MONTH(EE261)+2,0)</f>
        <v>45961</v>
      </c>
      <c r="EG261" s="1">
        <f t="shared" si="5"/>
        <v>45991</v>
      </c>
      <c r="EH261" s="1">
        <f t="shared" si="5"/>
        <v>46022</v>
      </c>
    </row>
    <row r="262" spans="3:140" customFormat="1" x14ac:dyDescent="0.25">
      <c r="D262" s="5" t="s">
        <v>2</v>
      </c>
      <c r="E262" s="5"/>
      <c r="F262" s="5"/>
      <c r="G262" s="5"/>
      <c r="H262" s="5">
        <f t="shared" ref="H262:BS262" si="6">G267</f>
        <v>0</v>
      </c>
      <c r="I262" s="5">
        <f t="shared" si="6"/>
        <v>0</v>
      </c>
      <c r="J262" s="5">
        <f t="shared" si="6"/>
        <v>0</v>
      </c>
      <c r="K262" s="5">
        <f t="shared" si="6"/>
        <v>0</v>
      </c>
      <c r="L262" s="5">
        <f t="shared" si="6"/>
        <v>0</v>
      </c>
      <c r="M262" s="5">
        <f t="shared" si="6"/>
        <v>0</v>
      </c>
      <c r="N262" s="5">
        <f t="shared" si="6"/>
        <v>0</v>
      </c>
      <c r="O262" s="5">
        <f t="shared" si="6"/>
        <v>0</v>
      </c>
      <c r="P262" s="5">
        <f t="shared" si="6"/>
        <v>0</v>
      </c>
      <c r="Q262" s="5">
        <f t="shared" si="6"/>
        <v>0</v>
      </c>
      <c r="R262" s="5">
        <f t="shared" si="6"/>
        <v>0</v>
      </c>
      <c r="S262" s="5">
        <f t="shared" si="6"/>
        <v>0</v>
      </c>
      <c r="T262" s="5">
        <f t="shared" si="6"/>
        <v>0</v>
      </c>
      <c r="U262" s="5">
        <f t="shared" si="6"/>
        <v>0</v>
      </c>
      <c r="V262" s="5">
        <f t="shared" si="6"/>
        <v>0</v>
      </c>
      <c r="W262" s="5">
        <f t="shared" si="6"/>
        <v>0</v>
      </c>
      <c r="X262" s="5">
        <f t="shared" si="6"/>
        <v>0</v>
      </c>
      <c r="Y262" s="5">
        <f t="shared" si="6"/>
        <v>0</v>
      </c>
      <c r="Z262" s="5">
        <f t="shared" si="6"/>
        <v>0</v>
      </c>
      <c r="AA262" s="5">
        <f t="shared" si="6"/>
        <v>0</v>
      </c>
      <c r="AB262" s="5">
        <f t="shared" si="6"/>
        <v>0</v>
      </c>
      <c r="AC262" s="5">
        <f t="shared" si="6"/>
        <v>0</v>
      </c>
      <c r="AD262" s="5">
        <f t="shared" si="6"/>
        <v>0</v>
      </c>
      <c r="AE262" s="5">
        <f t="shared" si="6"/>
        <v>0</v>
      </c>
      <c r="AF262" s="5">
        <f t="shared" si="6"/>
        <v>0</v>
      </c>
      <c r="AG262" s="5">
        <f t="shared" si="6"/>
        <v>0</v>
      </c>
      <c r="AH262" s="5">
        <f t="shared" si="6"/>
        <v>0</v>
      </c>
      <c r="AI262" s="5">
        <f t="shared" si="6"/>
        <v>0</v>
      </c>
      <c r="AJ262" s="5">
        <f t="shared" si="6"/>
        <v>0</v>
      </c>
      <c r="AK262" s="5">
        <f t="shared" si="6"/>
        <v>0</v>
      </c>
      <c r="AL262" s="5">
        <f t="shared" si="6"/>
        <v>0</v>
      </c>
      <c r="AM262" s="5">
        <f t="shared" si="6"/>
        <v>0</v>
      </c>
      <c r="AN262" s="5">
        <f t="shared" si="6"/>
        <v>0</v>
      </c>
      <c r="AO262" s="5">
        <f t="shared" si="6"/>
        <v>0</v>
      </c>
      <c r="AP262" s="5">
        <f t="shared" si="6"/>
        <v>0</v>
      </c>
      <c r="AQ262" s="5">
        <f t="shared" si="6"/>
        <v>0</v>
      </c>
      <c r="AR262" s="5">
        <f t="shared" si="6"/>
        <v>0</v>
      </c>
      <c r="AS262" s="5">
        <f t="shared" si="6"/>
        <v>0</v>
      </c>
      <c r="AT262" s="5">
        <f t="shared" si="6"/>
        <v>0</v>
      </c>
      <c r="AU262" s="5">
        <f t="shared" si="6"/>
        <v>0</v>
      </c>
      <c r="AV262" s="5">
        <f t="shared" si="6"/>
        <v>0</v>
      </c>
      <c r="AW262" s="5">
        <f t="shared" si="6"/>
        <v>0</v>
      </c>
      <c r="AX262" s="5">
        <f t="shared" si="6"/>
        <v>0</v>
      </c>
      <c r="AY262" s="5">
        <f t="shared" si="6"/>
        <v>0</v>
      </c>
      <c r="AZ262" s="5">
        <f t="shared" si="6"/>
        <v>0</v>
      </c>
      <c r="BA262" s="5">
        <f t="shared" si="6"/>
        <v>0</v>
      </c>
      <c r="BB262" s="5">
        <f t="shared" si="6"/>
        <v>0</v>
      </c>
      <c r="BC262" s="5">
        <f t="shared" si="6"/>
        <v>0</v>
      </c>
      <c r="BD262" s="5">
        <f t="shared" si="6"/>
        <v>0</v>
      </c>
      <c r="BE262" s="5">
        <f t="shared" si="6"/>
        <v>0</v>
      </c>
      <c r="BF262" s="5">
        <f t="shared" si="6"/>
        <v>0</v>
      </c>
      <c r="BG262" s="5">
        <f t="shared" si="6"/>
        <v>0</v>
      </c>
      <c r="BH262" s="5">
        <f t="shared" si="6"/>
        <v>0</v>
      </c>
      <c r="BI262" s="5">
        <f t="shared" si="6"/>
        <v>0</v>
      </c>
      <c r="BJ262" s="5">
        <f t="shared" si="6"/>
        <v>0</v>
      </c>
      <c r="BK262" s="5">
        <f t="shared" si="6"/>
        <v>0</v>
      </c>
      <c r="BL262" s="5">
        <f t="shared" si="6"/>
        <v>0</v>
      </c>
      <c r="BM262" s="5">
        <f t="shared" si="6"/>
        <v>0</v>
      </c>
      <c r="BN262" s="5">
        <f t="shared" si="6"/>
        <v>0</v>
      </c>
      <c r="BO262" s="5">
        <f>BN267</f>
        <v>0</v>
      </c>
      <c r="BP262" s="5">
        <f t="shared" si="6"/>
        <v>0</v>
      </c>
      <c r="BQ262" s="5">
        <f t="shared" si="6"/>
        <v>0</v>
      </c>
      <c r="BR262" s="5">
        <f t="shared" si="6"/>
        <v>0</v>
      </c>
      <c r="BS262" s="5">
        <f t="shared" si="6"/>
        <v>0</v>
      </c>
      <c r="BT262" s="5">
        <f t="shared" ref="BT262:EE262" si="7">BS267</f>
        <v>0</v>
      </c>
      <c r="BU262" s="5">
        <f t="shared" si="7"/>
        <v>0</v>
      </c>
      <c r="BV262" s="5">
        <f t="shared" si="7"/>
        <v>0</v>
      </c>
      <c r="BW262" s="5">
        <f t="shared" si="7"/>
        <v>0</v>
      </c>
      <c r="BX262" s="5">
        <f t="shared" si="7"/>
        <v>0</v>
      </c>
      <c r="BY262" s="5">
        <f t="shared" si="7"/>
        <v>0</v>
      </c>
      <c r="BZ262" s="5">
        <f t="shared" si="7"/>
        <v>0</v>
      </c>
      <c r="CA262" s="5">
        <f t="shared" si="7"/>
        <v>0</v>
      </c>
      <c r="CB262" s="5">
        <f t="shared" si="7"/>
        <v>0</v>
      </c>
      <c r="CC262" s="5">
        <f t="shared" si="7"/>
        <v>0</v>
      </c>
      <c r="CD262" s="5">
        <f t="shared" si="7"/>
        <v>0</v>
      </c>
      <c r="CE262" s="5">
        <f t="shared" si="7"/>
        <v>0</v>
      </c>
      <c r="CF262" s="5">
        <f t="shared" si="7"/>
        <v>0</v>
      </c>
      <c r="CG262" s="5">
        <f t="shared" si="7"/>
        <v>0</v>
      </c>
      <c r="CH262" s="5">
        <f t="shared" si="7"/>
        <v>0</v>
      </c>
      <c r="CI262" s="5">
        <f t="shared" si="7"/>
        <v>0</v>
      </c>
      <c r="CJ262" s="5">
        <f t="shared" si="7"/>
        <v>0</v>
      </c>
      <c r="CK262" s="5">
        <f t="shared" si="7"/>
        <v>0</v>
      </c>
      <c r="CL262" s="5">
        <f t="shared" si="7"/>
        <v>0</v>
      </c>
      <c r="CM262" s="5">
        <f t="shared" si="7"/>
        <v>0</v>
      </c>
      <c r="CN262" s="5">
        <f t="shared" si="7"/>
        <v>0</v>
      </c>
      <c r="CO262" s="5">
        <f t="shared" si="7"/>
        <v>0</v>
      </c>
      <c r="CP262" s="5">
        <f t="shared" si="7"/>
        <v>0</v>
      </c>
      <c r="CQ262" s="5">
        <f t="shared" si="7"/>
        <v>0</v>
      </c>
      <c r="CR262" s="5">
        <f t="shared" si="7"/>
        <v>0</v>
      </c>
      <c r="CS262" s="5">
        <f t="shared" si="7"/>
        <v>0</v>
      </c>
      <c r="CT262" s="5">
        <f t="shared" si="7"/>
        <v>0</v>
      </c>
      <c r="CU262" s="5">
        <f t="shared" si="7"/>
        <v>0</v>
      </c>
      <c r="CV262" s="5">
        <f t="shared" si="7"/>
        <v>0</v>
      </c>
      <c r="CW262" s="5">
        <f t="shared" si="7"/>
        <v>0</v>
      </c>
      <c r="CX262" s="5">
        <f t="shared" si="7"/>
        <v>0</v>
      </c>
      <c r="CY262" s="5">
        <f t="shared" si="7"/>
        <v>0</v>
      </c>
      <c r="CZ262" s="5">
        <f t="shared" si="7"/>
        <v>0</v>
      </c>
      <c r="DA262" s="5">
        <f t="shared" si="7"/>
        <v>0</v>
      </c>
      <c r="DB262" s="5">
        <f t="shared" si="7"/>
        <v>0</v>
      </c>
      <c r="DC262" s="5">
        <f t="shared" si="7"/>
        <v>0</v>
      </c>
      <c r="DD262" s="5">
        <f t="shared" si="7"/>
        <v>0</v>
      </c>
      <c r="DE262" s="5">
        <f t="shared" si="7"/>
        <v>0</v>
      </c>
      <c r="DF262" s="5">
        <f t="shared" si="7"/>
        <v>0</v>
      </c>
      <c r="DG262" s="5">
        <f t="shared" si="7"/>
        <v>0</v>
      </c>
      <c r="DH262" s="5">
        <f t="shared" si="7"/>
        <v>0</v>
      </c>
      <c r="DI262" s="5">
        <f t="shared" si="7"/>
        <v>0</v>
      </c>
      <c r="DJ262" s="5">
        <f t="shared" si="7"/>
        <v>0</v>
      </c>
      <c r="DK262" s="5">
        <f t="shared" si="7"/>
        <v>0</v>
      </c>
      <c r="DL262" s="5">
        <f t="shared" si="7"/>
        <v>299460.5</v>
      </c>
      <c r="DM262" s="5">
        <f t="shared" si="7"/>
        <v>311491.66666666669</v>
      </c>
      <c r="DN262" s="5">
        <f t="shared" si="7"/>
        <v>314850.33333333337</v>
      </c>
      <c r="DO262" s="5">
        <f t="shared" si="7"/>
        <v>320191.58333333337</v>
      </c>
      <c r="DP262" s="5">
        <f t="shared" si="7"/>
        <v>325538.16666666669</v>
      </c>
      <c r="DQ262" s="5">
        <f t="shared" si="7"/>
        <v>327802.08333333337</v>
      </c>
      <c r="DR262" s="5">
        <f t="shared" si="7"/>
        <v>333619.58333333337</v>
      </c>
      <c r="DS262" s="5">
        <f t="shared" si="7"/>
        <v>340313.91666666669</v>
      </c>
      <c r="DT262" s="5">
        <f t="shared" si="7"/>
        <v>342810.16666666669</v>
      </c>
      <c r="DU262" s="5">
        <f t="shared" si="7"/>
        <v>402162.83333333337</v>
      </c>
      <c r="DV262" s="5">
        <f t="shared" si="7"/>
        <v>404737.16666666669</v>
      </c>
      <c r="DW262" s="5">
        <f t="shared" si="7"/>
        <v>415524.25</v>
      </c>
      <c r="DX262" s="5">
        <f t="shared" si="7"/>
        <v>419616.75</v>
      </c>
      <c r="DY262" s="5">
        <f t="shared" si="7"/>
        <v>442167.5</v>
      </c>
      <c r="DZ262" s="5">
        <f t="shared" si="7"/>
        <v>454787.5</v>
      </c>
      <c r="EA262" s="5">
        <f t="shared" si="7"/>
        <v>457053.16666666669</v>
      </c>
      <c r="EB262" s="5">
        <f t="shared" si="7"/>
        <v>460381.83333333337</v>
      </c>
      <c r="EC262" s="5">
        <f t="shared" si="7"/>
        <v>495421.25</v>
      </c>
      <c r="ED262" s="5">
        <f t="shared" si="7"/>
        <v>495035.75</v>
      </c>
      <c r="EE262" s="5">
        <f t="shared" si="7"/>
        <v>500854.41666666669</v>
      </c>
      <c r="EF262" s="5">
        <f t="shared" ref="EF262:EH262" si="8">EE267</f>
        <v>546340.00000000012</v>
      </c>
      <c r="EG262" s="5">
        <f t="shared" si="8"/>
        <v>524921.83333333349</v>
      </c>
      <c r="EH262" s="5">
        <f t="shared" si="8"/>
        <v>561818.58333333349</v>
      </c>
    </row>
    <row r="263" spans="3:140" customFormat="1" x14ac:dyDescent="0.25">
      <c r="D263" s="5" t="s">
        <v>3</v>
      </c>
      <c r="E263" s="5"/>
      <c r="F263" s="5"/>
      <c r="G263" s="5">
        <f t="array" ref="G263">SUM(IF(G5:G260&gt;0,1,0)*IF(F5:F260=0,1,0)*G5:G260)</f>
        <v>0</v>
      </c>
      <c r="H263" s="5">
        <f t="array" ref="H263">SUM(IF(H5:H260&gt;0,1,0)*IF(G5:G260=0,1,0)*H5:H260)</f>
        <v>0</v>
      </c>
      <c r="I263" s="5">
        <f t="array" ref="I263">SUM(IF(I5:I260&gt;0,1,0)*IF(H5:H260=0,1,0)*I5:I260)</f>
        <v>0</v>
      </c>
      <c r="J263" s="5">
        <f t="array" ref="J263">SUM(IF(J5:J260&gt;0,1,0)*IF(I5:I260=0,1,0)*J5:J260)</f>
        <v>0</v>
      </c>
      <c r="K263" s="5">
        <f t="array" ref="K263">SUM(IF(K5:K260&gt;0,1,0)*IF(J5:J260=0,1,0)*K5:K260)</f>
        <v>0</v>
      </c>
      <c r="L263" s="5">
        <f t="array" ref="L263">SUM(IF(L5:L260&gt;0,1,0)*IF(K5:K260=0,1,0)*L5:L260)</f>
        <v>0</v>
      </c>
      <c r="M263" s="5">
        <f t="array" ref="M263">SUM(IF(M5:M260&gt;0,1,0)*IF(L5:L260=0,1,0)*M5:M260)</f>
        <v>0</v>
      </c>
      <c r="N263" s="5">
        <f t="array" ref="N263">SUM(IF(N5:N260&gt;0,1,0)*IF(M5:M260=0,1,0)*N5:N260)</f>
        <v>0</v>
      </c>
      <c r="O263" s="5">
        <f t="array" ref="O263">SUM(IF(O5:O260&gt;0,1,0)*IF(N5:N260=0,1,0)*O5:O260)</f>
        <v>0</v>
      </c>
      <c r="P263" s="5">
        <f t="array" ref="P263">SUM(IF(P5:P260&gt;0,1,0)*IF(O5:O260=0,1,0)*P5:P260)</f>
        <v>0</v>
      </c>
      <c r="Q263" s="5">
        <f t="array" ref="Q263">SUM(IF(Q5:Q260&gt;0,1,0)*IF(P5:P260=0,1,0)*Q5:Q260)</f>
        <v>0</v>
      </c>
      <c r="R263" s="5">
        <f t="array" ref="R263">SUM(IF(R5:R260&gt;0,1,0)*IF(Q5:Q260=0,1,0)*R5:R260)</f>
        <v>0</v>
      </c>
      <c r="S263" s="5">
        <f t="array" ref="S263">SUM(IF(S5:S260&gt;0,1,0)*IF(R5:R260=0,1,0)*S5:S260)</f>
        <v>0</v>
      </c>
      <c r="T263" s="5">
        <f t="array" ref="T263">SUM(IF(T5:T260&gt;0,1,0)*IF(S5:S260=0,1,0)*T5:T260)</f>
        <v>0</v>
      </c>
      <c r="U263" s="5">
        <f t="array" ref="U263">SUM(IF(U5:U260&gt;0,1,0)*IF(T5:T260=0,1,0)*U5:U260)</f>
        <v>0</v>
      </c>
      <c r="V263" s="5">
        <f t="array" ref="V263">SUM(IF(V5:V260&gt;0,1,0)*IF(U5:U260=0,1,0)*V5:V260)</f>
        <v>0</v>
      </c>
      <c r="W263" s="5">
        <f t="array" ref="W263">SUM(IF(W5:W260&gt;0,1,0)*IF(V5:V260=0,1,0)*W5:W260)</f>
        <v>0</v>
      </c>
      <c r="X263" s="5">
        <f t="array" ref="X263">SUM(IF(X5:X260&gt;0,1,0)*IF(W5:W260=0,1,0)*X5:X260)</f>
        <v>0</v>
      </c>
      <c r="Y263" s="5">
        <f t="array" ref="Y263">SUM(IF(Y5:Y260&gt;0,1,0)*IF(X5:X260=0,1,0)*Y5:Y260)</f>
        <v>0</v>
      </c>
      <c r="Z263" s="5">
        <f t="array" ref="Z263">SUM(IF(Z5:Z260&gt;0,1,0)*IF(Y5:Y260=0,1,0)*Z5:Z260)</f>
        <v>0</v>
      </c>
      <c r="AA263" s="5">
        <f t="array" ref="AA263">SUM(IF(AA5:AA260&gt;0,1,0)*IF(Z5:Z260=0,1,0)*AA5:AA260)</f>
        <v>0</v>
      </c>
      <c r="AB263" s="5">
        <f t="array" ref="AB263">SUM(IF(AB5:AB260&gt;0,1,0)*IF(AA5:AA260=0,1,0)*AB5:AB260)</f>
        <v>0</v>
      </c>
      <c r="AC263" s="5">
        <f t="array" ref="AC263">SUM(IF(AC5:AC260&gt;0,1,0)*IF(AB5:AB260=0,1,0)*AC5:AC260)</f>
        <v>0</v>
      </c>
      <c r="AD263" s="5">
        <f t="array" ref="AD263">SUM(IF(AD5:AD260&gt;0,1,0)*IF(AC5:AC260=0,1,0)*AD5:AD260)</f>
        <v>0</v>
      </c>
      <c r="AE263" s="5">
        <f t="array" ref="AE263">SUM(IF(AE5:AE260&gt;0,1,0)*IF(AD5:AD260=0,1,0)*AE5:AE260)</f>
        <v>0</v>
      </c>
      <c r="AF263" s="5">
        <f t="array" ref="AF263">SUM(IF(AF5:AF260&gt;0,1,0)*IF(AE5:AE260=0,1,0)*AF5:AF260)</f>
        <v>0</v>
      </c>
      <c r="AG263" s="5">
        <f t="array" ref="AG263">SUM(IF(AG5:AG260&gt;0,1,0)*IF(AF5:AF260=0,1,0)*AG5:AG260)</f>
        <v>0</v>
      </c>
      <c r="AH263" s="5">
        <f t="array" ref="AH263">SUM(IF(AH5:AH260&gt;0,1,0)*IF(AG5:AG260=0,1,0)*AH5:AH260)</f>
        <v>0</v>
      </c>
      <c r="AI263" s="5">
        <f t="array" ref="AI263">SUM(IF(AI5:AI260&gt;0,1,0)*IF(AH5:AH260=0,1,0)*AI5:AI260)</f>
        <v>0</v>
      </c>
      <c r="AJ263" s="5">
        <f t="array" ref="AJ263">SUM(IF(AJ5:AJ260&gt;0,1,0)*IF(AI5:AI260=0,1,0)*AJ5:AJ260)</f>
        <v>0</v>
      </c>
      <c r="AK263" s="5">
        <f t="array" ref="AK263">SUM(IF(AK5:AK260&gt;0,1,0)*IF(AJ5:AJ260=0,1,0)*AK5:AK260)</f>
        <v>0</v>
      </c>
      <c r="AL263" s="5">
        <f t="array" ref="AL263">SUM(IF(AL5:AL260&gt;0,1,0)*IF(AK5:AK260=0,1,0)*AL5:AL260)</f>
        <v>0</v>
      </c>
      <c r="AM263" s="5">
        <f t="array" ref="AM263">SUM(IF(AM5:AM260&gt;0,1,0)*IF(AL5:AL260=0,1,0)*AM5:AM260)</f>
        <v>0</v>
      </c>
      <c r="AN263" s="5">
        <f t="array" ref="AN263">SUM(IF(AN5:AN260&gt;0,1,0)*IF(AM5:AM260=0,1,0)*AN5:AN260)</f>
        <v>0</v>
      </c>
      <c r="AO263" s="5">
        <f t="array" ref="AO263">SUM(IF(AO5:AO260&gt;0,1,0)*IF(AN5:AN260=0,1,0)*AO5:AO260)</f>
        <v>0</v>
      </c>
      <c r="AP263" s="5">
        <f t="array" ref="AP263">SUM(IF(AP5:AP260&gt;0,1,0)*IF(AO5:AO260=0,1,0)*AP5:AP260)</f>
        <v>0</v>
      </c>
      <c r="AQ263" s="5">
        <f t="array" ref="AQ263">SUM(IF(AQ5:AQ260&gt;0,1,0)*IF(AP5:AP260=0,1,0)*AQ5:AQ260)</f>
        <v>0</v>
      </c>
      <c r="AR263" s="5">
        <f t="array" ref="AR263">SUM(IF(AR5:AR260&gt;0,1,0)*IF(AQ5:AQ260=0,1,0)*AR5:AR260)</f>
        <v>0</v>
      </c>
      <c r="AS263" s="5">
        <f t="array" ref="AS263">SUM(IF(AS5:AS260&gt;0,1,0)*IF(AR5:AR260=0,1,0)*AS5:AS260)</f>
        <v>0</v>
      </c>
      <c r="AT263" s="5">
        <f t="array" ref="AT263">SUM(IF(AT5:AT260&gt;0,1,0)*IF(AS5:AS260=0,1,0)*AT5:AT260)</f>
        <v>0</v>
      </c>
      <c r="AU263" s="5">
        <f t="array" ref="AU263">SUM(IF(AU5:AU260&gt;0,1,0)*IF(AT5:AT260=0,1,0)*AU5:AU260)</f>
        <v>0</v>
      </c>
      <c r="AV263" s="5">
        <f t="array" ref="AV263">SUM(IF(AV5:AV260&gt;0,1,0)*IF(AU5:AU260=0,1,0)*AV5:AV260)</f>
        <v>0</v>
      </c>
      <c r="AW263" s="5">
        <f t="array" ref="AW263">SUM(IF(AW5:AW260&gt;0,1,0)*IF(AV5:AV260=0,1,0)*AW5:AW260)</f>
        <v>0</v>
      </c>
      <c r="AX263" s="5">
        <f t="array" ref="AX263">SUM(IF(AX5:AX260&gt;0,1,0)*IF(AW5:AW260=0,1,0)*AX5:AX260)</f>
        <v>0</v>
      </c>
      <c r="AY263" s="5">
        <f t="array" ref="AY263">SUM(IF(AY5:AY260&gt;0,1,0)*IF(AX5:AX260=0,1,0)*AY5:AY260)</f>
        <v>0</v>
      </c>
      <c r="AZ263" s="5">
        <f t="array" ref="AZ263">SUM(IF(AZ5:AZ260&gt;0,1,0)*IF(AY5:AY260=0,1,0)*AZ5:AZ260)</f>
        <v>0</v>
      </c>
      <c r="BA263" s="5">
        <f t="array" ref="BA263">SUM(IF(BA5:BA260&gt;0,1,0)*IF(AZ5:AZ260=0,1,0)*BA5:BA260)</f>
        <v>0</v>
      </c>
      <c r="BB263" s="5">
        <f t="array" ref="BB263">SUM(IF(BB5:BB260&gt;0,1,0)*IF(BA5:BA260=0,1,0)*BB5:BB260)</f>
        <v>0</v>
      </c>
      <c r="BC263" s="5">
        <f t="array" ref="BC263">SUM(IF(BC5:BC260&gt;0,1,0)*IF(BB5:BB260=0,1,0)*BC5:BC260)</f>
        <v>0</v>
      </c>
      <c r="BD263" s="5">
        <f t="array" ref="BD263">SUM(IF(BD5:BD260&gt;0,1,0)*IF(BC5:BC260=0,1,0)*BD5:BD260)</f>
        <v>0</v>
      </c>
      <c r="BE263" s="5">
        <f t="array" ref="BE263">SUM(IF(BE5:BE260&gt;0,1,0)*IF(BD5:BD260=0,1,0)*BE5:BE260)</f>
        <v>0</v>
      </c>
      <c r="BF263" s="5">
        <f t="array" ref="BF263">SUM(IF(BF5:BF260&gt;0,1,0)*IF(BE5:BE260=0,1,0)*BF5:BF260)</f>
        <v>0</v>
      </c>
      <c r="BG263" s="5">
        <f t="array" ref="BG263">SUM(IF(BG5:BG260&gt;0,1,0)*IF(BF5:BF260=0,1,0)*BG5:BG260)</f>
        <v>0</v>
      </c>
      <c r="BH263" s="5">
        <f t="array" ref="BH263">SUM(IF(BH5:BH260&gt;0,1,0)*IF(BG5:BG260=0,1,0)*BH5:BH260)</f>
        <v>0</v>
      </c>
      <c r="BI263" s="5">
        <f t="array" ref="BI263">SUM(IF(BI5:BI260&gt;0,1,0)*IF(BH5:BH260=0,1,0)*BI5:BI260)</f>
        <v>0</v>
      </c>
      <c r="BJ263" s="5">
        <f t="array" ref="BJ263">SUM(IF(BJ5:BJ260&gt;0,1,0)*IF(BI5:BI260=0,1,0)*BJ5:BJ260)</f>
        <v>0</v>
      </c>
      <c r="BK263" s="5">
        <f t="array" ref="BK263">SUM(IF(BK5:BK260&gt;0,1,0)*IF(BJ5:BJ260=0,1,0)*BK5:BK260)</f>
        <v>0</v>
      </c>
      <c r="BL263" s="5">
        <f t="array" ref="BL263">SUM(IF(BL5:BL260&gt;0,1,0)*IF(BK5:BK260=0,1,0)*BL5:BL260)</f>
        <v>0</v>
      </c>
      <c r="BM263" s="5">
        <f t="array" ref="BM263">SUM(IF(BM5:BM260&gt;0,1,0)*IF(BL5:BL260=0,1,0)*BM5:BM260)</f>
        <v>0</v>
      </c>
      <c r="BN263" s="5">
        <f t="array" ref="BN263">SUM(IF(BN5:BN260&gt;0,1,0)*IF(BM5:BM260=0,1,0)*BN5:BN260)</f>
        <v>0</v>
      </c>
      <c r="BO263" s="5">
        <f t="array" ref="BO263">SUM(IF(BO5:BO260&gt;0,1,0)*IF(BN5:BN260=0,1,0)*BO5:BO260)</f>
        <v>0</v>
      </c>
      <c r="BP263" s="5">
        <f t="array" ref="BP263">SUM(IF(BP5:BP260&gt;0,1,0)*IF(BO5:BO260=0,1,0)*BP5:BP260)</f>
        <v>0</v>
      </c>
      <c r="BQ263" s="5">
        <f t="array" ref="BQ263">SUM(IF(BQ5:BQ260&gt;0,1,0)*IF(BP5:BP260=0,1,0)*BQ5:BQ260)</f>
        <v>0</v>
      </c>
      <c r="BR263" s="5">
        <f t="array" ref="BR263">SUM(IF(BR5:BR260&gt;0,1,0)*IF(BQ5:BQ260=0,1,0)*BR5:BR260)</f>
        <v>0</v>
      </c>
      <c r="BS263" s="5">
        <f t="array" ref="BS263">SUM(IF(BS5:BS260&gt;0,1,0)*IF(BR5:BR260=0,1,0)*BS5:BS260)</f>
        <v>0</v>
      </c>
      <c r="BT263" s="5">
        <f t="array" ref="BT263">SUM(IF(BT5:BT260&gt;0,1,0)*IF(BS5:BS260=0,1,0)*BT5:BT260)</f>
        <v>0</v>
      </c>
      <c r="BU263" s="5">
        <f t="array" ref="BU263">SUM(IF(BU5:BU260&gt;0,1,0)*IF(BT5:BT260=0,1,0)*BU5:BU260)</f>
        <v>0</v>
      </c>
      <c r="BV263" s="5">
        <f t="array" ref="BV263">SUM(IF(BV5:BV260&gt;0,1,0)*IF(BU5:BU260=0,1,0)*BV5:BV260)</f>
        <v>0</v>
      </c>
      <c r="BW263" s="5">
        <f t="array" ref="BW263">SUM(IF(BW5:BW260&gt;0,1,0)*IF(BV5:BV260=0,1,0)*BW5:BW260)</f>
        <v>0</v>
      </c>
      <c r="BX263" s="5">
        <f t="array" ref="BX263">SUM(IF(BX5:BX260&gt;0,1,0)*IF(BW5:BW260=0,1,0)*BX5:BX260)</f>
        <v>0</v>
      </c>
      <c r="BY263" s="5">
        <f t="array" ref="BY263">SUM(IF(BY5:BY260&gt;0,1,0)*IF(BX5:BX260=0,1,0)*BY5:BY260)</f>
        <v>0</v>
      </c>
      <c r="BZ263" s="5">
        <f t="array" ref="BZ263">SUM(IF(BZ5:BZ260&gt;0,1,0)*IF(BY5:BY260=0,1,0)*BZ5:BZ260)</f>
        <v>0</v>
      </c>
      <c r="CA263" s="5">
        <f t="array" ref="CA263">SUM(IF(CA5:CA260&gt;0,1,0)*IF(BZ5:BZ260=0,1,0)*CA5:CA260)</f>
        <v>0</v>
      </c>
      <c r="CB263" s="5">
        <f t="array" ref="CB263">SUM(IF(CB5:CB260&gt;0,1,0)*IF(CA5:CA260=0,1,0)*CB5:CB260)</f>
        <v>0</v>
      </c>
      <c r="CC263" s="5">
        <f t="array" ref="CC263">SUM(IF(CC5:CC260&gt;0,1,0)*IF(CB5:CB260=0,1,0)*CC5:CC260)</f>
        <v>0</v>
      </c>
      <c r="CD263" s="5">
        <f t="array" ref="CD263">SUM(IF(CD5:CD260&gt;0,1,0)*IF(CC5:CC260=0,1,0)*CD5:CD260)</f>
        <v>0</v>
      </c>
      <c r="CE263" s="5">
        <f t="array" ref="CE263">SUM(IF(CE5:CE260&gt;0,1,0)*IF(CD5:CD260=0,1,0)*CE5:CE260)</f>
        <v>0</v>
      </c>
      <c r="CF263" s="5">
        <f t="array" ref="CF263">SUM(IF(CF5:CF260&gt;0,1,0)*IF(CE5:CE260=0,1,0)*CF5:CF260)</f>
        <v>0</v>
      </c>
      <c r="CG263" s="5">
        <f t="array" ref="CG263">SUM(IF(CG5:CG260&gt;0,1,0)*IF(CF5:CF260=0,1,0)*CG5:CG260)</f>
        <v>0</v>
      </c>
      <c r="CH263" s="5">
        <f t="array" ref="CH263">SUM(IF(CH5:CH260&gt;0,1,0)*IF(CG5:CG260=0,1,0)*CH5:CH260)</f>
        <v>0</v>
      </c>
      <c r="CI263" s="5">
        <f t="array" ref="CI263">SUM(IF(CI5:CI260&gt;0,1,0)*IF(CH5:CH260=0,1,0)*CI5:CI260)</f>
        <v>0</v>
      </c>
      <c r="CJ263" s="5">
        <f t="array" ref="CJ263">SUM(IF(CJ5:CJ260&gt;0,1,0)*IF(CI5:CI260=0,1,0)*CJ5:CJ260)</f>
        <v>0</v>
      </c>
      <c r="CK263" s="5">
        <f t="array" ref="CK263">SUM(IF(CK5:CK260&gt;0,1,0)*IF(CJ5:CJ260=0,1,0)*CK5:CK260)</f>
        <v>0</v>
      </c>
      <c r="CL263" s="5">
        <f t="array" ref="CL263">SUM(IF(CL5:CL260&gt;0,1,0)*IF(CK5:CK260=0,1,0)*CL5:CL260)</f>
        <v>0</v>
      </c>
      <c r="CM263" s="5">
        <f t="array" ref="CM263">SUM(IF(CM5:CM260&gt;0,1,0)*IF(CL5:CL260=0,1,0)*CM5:CM260)</f>
        <v>0</v>
      </c>
      <c r="CN263" s="5">
        <f t="array" ref="CN263">SUM(IF(CN5:CN260&gt;0,1,0)*IF(CM5:CM260=0,1,0)*CN5:CN260)</f>
        <v>0</v>
      </c>
      <c r="CO263" s="5">
        <f t="array" ref="CO263">SUM(IF(CO5:CO260&gt;0,1,0)*IF(CN5:CN260=0,1,0)*CO5:CO260)</f>
        <v>0</v>
      </c>
      <c r="CP263" s="5">
        <f t="array" ref="CP263">SUM(IF(CP5:CP260&gt;0,1,0)*IF(CO5:CO260=0,1,0)*CP5:CP260)</f>
        <v>0</v>
      </c>
      <c r="CQ263" s="5">
        <f t="array" ref="CQ263">SUM(IF(CQ5:CQ260&gt;0,1,0)*IF(CP5:CP260=0,1,0)*CQ5:CQ260)</f>
        <v>0</v>
      </c>
      <c r="CR263" s="5">
        <f t="array" ref="CR263">SUM(IF(CR5:CR260&gt;0,1,0)*IF(CQ5:CQ260=0,1,0)*CR5:CR260)</f>
        <v>0</v>
      </c>
      <c r="CS263" s="5">
        <f t="array" ref="CS263">SUM(IF(CS5:CS260&gt;0,1,0)*IF(CR5:CR260=0,1,0)*CS5:CS260)</f>
        <v>0</v>
      </c>
      <c r="CT263" s="5">
        <f t="array" ref="CT263">SUM(IF(CT5:CT260&gt;0,1,0)*IF(CS5:CS260=0,1,0)*CT5:CT260)</f>
        <v>0</v>
      </c>
      <c r="CU263" s="5">
        <f t="array" ref="CU263">SUM(IF(CU5:CU260&gt;0,1,0)*IF(CT5:CT260=0,1,0)*CU5:CU260)</f>
        <v>0</v>
      </c>
      <c r="CV263" s="5">
        <f t="array" ref="CV263">SUM(IF(CV5:CV260&gt;0,1,0)*IF(CU5:CU260=0,1,0)*CV5:CV260)</f>
        <v>0</v>
      </c>
      <c r="CW263" s="5">
        <f t="array" ref="CW263">SUM(IF(CW5:CW260&gt;0,1,0)*IF(CV5:CV260=0,1,0)*CW5:CW260)</f>
        <v>0</v>
      </c>
      <c r="CX263" s="5">
        <f t="array" ref="CX263">SUM(IF(CX5:CX260&gt;0,1,0)*IF(CW5:CW260=0,1,0)*CX5:CX260)</f>
        <v>0</v>
      </c>
      <c r="CY263" s="5">
        <f t="array" ref="CY263">SUM(IF(CY5:CY260&gt;0,1,0)*IF(CX5:CX260=0,1,0)*CY5:CY260)</f>
        <v>0</v>
      </c>
      <c r="CZ263" s="5">
        <f t="array" ref="CZ263">SUM(IF(CZ5:CZ260&gt;0,1,0)*IF(CY5:CY260=0,1,0)*CZ5:CZ260)</f>
        <v>0</v>
      </c>
      <c r="DA263" s="5">
        <f t="array" ref="DA263">SUM(IF(DA5:DA260&gt;0,1,0)*IF(CZ5:CZ260=0,1,0)*DA5:DA260)</f>
        <v>0</v>
      </c>
      <c r="DB263" s="5">
        <f t="array" ref="DB263">SUM(IF(DB5:DB260&gt;0,1,0)*IF(DA5:DA260=0,1,0)*DB5:DB260)</f>
        <v>0</v>
      </c>
      <c r="DC263" s="5">
        <f t="array" ref="DC263">SUM(IF(DC5:DC260&gt;0,1,0)*IF(DB5:DB260=0,1,0)*DC5:DC260)</f>
        <v>0</v>
      </c>
      <c r="DD263" s="5">
        <f t="array" ref="DD263">SUM(IF(DD5:DD260&gt;0,1,0)*IF(DC5:DC260=0,1,0)*DD5:DD260)</f>
        <v>0</v>
      </c>
      <c r="DE263" s="5">
        <f t="array" ref="DE263">SUM(IF(DE5:DE260&gt;0,1,0)*IF(DD5:DD260=0,1,0)*DE5:DE260)</f>
        <v>0</v>
      </c>
      <c r="DF263" s="5">
        <f t="array" ref="DF263">SUM(IF(DF5:DF260&gt;0,1,0)*IF(DE5:DE260=0,1,0)*DF5:DF260)</f>
        <v>0</v>
      </c>
      <c r="DG263" s="5">
        <f t="array" ref="DG263">SUM(IF(DG5:DG260&gt;0,1,0)*IF(DF5:DF260=0,1,0)*DG5:DG260)</f>
        <v>0</v>
      </c>
      <c r="DH263" s="5">
        <f t="array" ref="DH263">SUM(IF(DH5:DH260&gt;0,1,0)*IF(DG5:DG260=0,1,0)*DH5:DH260)</f>
        <v>0</v>
      </c>
      <c r="DI263" s="5">
        <f t="array" ref="DI263">SUM(IF(DI5:DI260&gt;0,1,0)*IF(DH5:DH260=0,1,0)*DI5:DI260)</f>
        <v>0</v>
      </c>
      <c r="DJ263" s="5">
        <f t="array" ref="DJ263">SUM(IF(DJ5:DJ260&gt;0,1,0)*IF(DI5:DI260=0,1,0)*DJ5:DJ260)</f>
        <v>0</v>
      </c>
      <c r="DK263" s="5">
        <f t="array" ref="DK263">SUM(IF(DK5:DK260&gt;0,1,0)*IF(DJ5:DJ260=0,1,0)*DK5:DK260)</f>
        <v>299460.5</v>
      </c>
      <c r="DL263" s="5">
        <f t="array" ref="DL263">SUM(IF(DL5:DL260&gt;0,1,0)*IF(DK5:DK260=0,1,0)*DL5:DL260)</f>
        <v>11834.166666666666</v>
      </c>
      <c r="DM263" s="5">
        <f t="array" ref="DM263">SUM(IF(DM5:DM260&gt;0,1,0)*IF(DL5:DL260=0,1,0)*DM5:DM260)</f>
        <v>2417.5</v>
      </c>
      <c r="DN263" s="5">
        <f t="array" ref="DN263">SUM(IF(DN5:DN260&gt;0,1,0)*IF(DM5:DM260=0,1,0)*DN5:DN260)</f>
        <v>2600</v>
      </c>
      <c r="DO263" s="5">
        <f t="array" ref="DO263">SUM(IF(DO5:DO260&gt;0,1,0)*IF(DN5:DN260=0,1,0)*DO5:DO260)</f>
        <v>6547.5</v>
      </c>
      <c r="DP263" s="5">
        <f t="array" ref="DP263">SUM(IF(DP5:DP260&gt;0,1,0)*IF(DO5:DO260=0,1,0)*DP5:DP260)</f>
        <v>2250</v>
      </c>
      <c r="DQ263" s="5">
        <f t="array" ref="DQ263">SUM(IF(DQ5:DQ260&gt;0,1,0)*IF(DP5:DP260=0,1,0)*DQ5:DQ260)</f>
        <v>3793.666666666667</v>
      </c>
      <c r="DR263" s="5">
        <f t="array" ref="DR263">SUM(IF(DR5:DR260&gt;0,1,0)*IF(DQ5:DQ260=0,1,0)*DR5:DR260)</f>
        <v>6000</v>
      </c>
      <c r="DS263" s="5">
        <f t="array" ref="DS263">SUM(IF(DS5:DS260&gt;0,1,0)*IF(DR5:DR260=0,1,0)*DS5:DS260)</f>
        <v>9665</v>
      </c>
      <c r="DT263" s="5">
        <f t="array" ref="DT263">SUM(IF(DT5:DT260&gt;0,1,0)*IF(DS5:DS260=0,1,0)*DT5:DT260)</f>
        <v>43450</v>
      </c>
      <c r="DU263" s="5">
        <f t="array" ref="DU263">SUM(IF(DU5:DU260&gt;0,1,0)*IF(DT5:DT260=0,1,0)*DU5:DU260)</f>
        <v>2465</v>
      </c>
      <c r="DV263" s="5">
        <f t="array" ref="DV263">SUM(IF(DV5:DV260&gt;0,1,0)*IF(DU5:DU260=0,1,0)*DV5:DV260)</f>
        <v>1761</v>
      </c>
      <c r="DW263" s="5">
        <f t="array" ref="DW263">SUM(IF(DW5:DW260&gt;0,1,0)*IF(DV5:DV260=0,1,0)*DW5:DW260)</f>
        <v>1750</v>
      </c>
      <c r="DX263" s="5">
        <f t="array" ref="DX263">SUM(IF(DX5:DX260&gt;0,1,0)*IF(DW5:DW260=0,1,0)*DX5:DX260)</f>
        <v>25466.666666666668</v>
      </c>
      <c r="DY263" s="5">
        <f t="array" ref="DY263">SUM(IF(DY5:DY260&gt;0,1,0)*IF(DX5:DX260=0,1,0)*DY5:DY260)</f>
        <v>13929</v>
      </c>
      <c r="DZ263" s="5">
        <f t="array" ref="DZ263">SUM(IF(DZ5:DZ260&gt;0,1,0)*IF(DY5:DY260=0,1,0)*DZ5:DZ260)</f>
        <v>0</v>
      </c>
      <c r="EA263" s="5">
        <f t="array" ref="EA263">SUM(IF(EA5:EA260&gt;0,1,0)*IF(DZ5:DZ260=0,1,0)*EA5:EA260)</f>
        <v>4575</v>
      </c>
      <c r="EB263" s="5">
        <f t="array" ref="EB263">SUM(IF(EB5:EB260&gt;0,1,0)*IF(EA5:EA260=0,1,0)*EB5:EB260)</f>
        <v>28889</v>
      </c>
      <c r="EC263" s="5">
        <f t="array" ref="EC263">SUM(IF(EC5:EC260&gt;0,1,0)*IF(EB5:EB260=0,1,0)*EC5:EC260)</f>
        <v>0</v>
      </c>
      <c r="ED263" s="5">
        <f t="array" ref="ED263">SUM(IF(ED5:ED260&gt;0,1,0)*IF(EC5:EC260=0,1,0)*ED5:ED260)</f>
        <v>6108</v>
      </c>
      <c r="EE263" s="5">
        <f t="array" ref="EE263">SUM(IF(EE5:EE260&gt;0,1,0)*IF(ED5:ED260=0,1,0)*EE5:EE260)</f>
        <v>17661.166666666668</v>
      </c>
      <c r="EF263" s="5">
        <f t="array" ref="EF263">SUM(IF(EF5:EF260&gt;0,1,0)*IF(EE5:EE260=0,1,0)*EF5:EF260)</f>
        <v>2294.6666666666665</v>
      </c>
      <c r="EG263" s="5">
        <f t="array" ref="EG263">SUM(IF(EG5:EG260&gt;0,1,0)*IF(EF5:EF260=0,1,0)*EG5:EG260)</f>
        <v>37097</v>
      </c>
      <c r="EH263" s="5">
        <f t="array" ref="EH263">SUM(IF(EH5:EH260&gt;0,1,0)*IF(EG5:EG260=0,1,0)*EH5:EH260)</f>
        <v>28122.500000000004</v>
      </c>
      <c r="EJ263" s="7"/>
    </row>
    <row r="264" spans="3:140" customFormat="1" x14ac:dyDescent="0.25">
      <c r="D264" s="5" t="s">
        <v>4</v>
      </c>
      <c r="E264" s="5"/>
      <c r="F264" s="5"/>
      <c r="G264" s="5">
        <f t="array" ref="G264">SUM(IF(G5:G260&gt;F5:F260,1,0)*IF(F5:F260&lt;&gt;0,1,0)*(G5:G260-F5:F260))</f>
        <v>0</v>
      </c>
      <c r="H264" s="5">
        <f t="array" ref="H264">SUM(IF(H5:H260&gt;G5:G260,1,0)*IF(G5:G260&lt;&gt;0,1,0)*(H5:H260-G5:G260))</f>
        <v>0</v>
      </c>
      <c r="I264" s="5">
        <f t="array" ref="I264">SUM(IF(I5:I260&gt;H5:H260,1,0)*IF(H5:H260&lt;&gt;0,1,0)*(I5:I260-H5:H260))</f>
        <v>0</v>
      </c>
      <c r="J264" s="5">
        <f t="array" ref="J264">SUM(IF(J5:J260&gt;I5:I260,1,0)*IF(I5:I260&lt;&gt;0,1,0)*(J5:J260-I5:I260))</f>
        <v>0</v>
      </c>
      <c r="K264" s="5">
        <f t="array" ref="K264">SUM(IF(K5:K260&gt;J5:J260,1,0)*IF(J5:J260&lt;&gt;0,1,0)*(K5:K260-J5:J260))</f>
        <v>0</v>
      </c>
      <c r="L264" s="5">
        <f t="array" ref="L264">SUM(IF(L5:L260&gt;K5:K260,1,0)*IF(K5:K260&lt;&gt;0,1,0)*(L5:L260-K5:K260))</f>
        <v>0</v>
      </c>
      <c r="M264" s="5">
        <f t="array" ref="M264">SUM(IF(M5:M260&gt;L5:L260,1,0)*IF(L5:L260&lt;&gt;0,1,0)*(M5:M260-L5:L260))</f>
        <v>0</v>
      </c>
      <c r="N264" s="5">
        <f t="array" ref="N264">SUM(IF(N5:N260&gt;M5:M260,1,0)*IF(M5:M260&lt;&gt;0,1,0)*(N5:N260-M5:M260))</f>
        <v>0</v>
      </c>
      <c r="O264" s="5">
        <f t="array" ref="O264">SUM(IF(O5:O260&gt;N5:N260,1,0)*IF(N5:N260&lt;&gt;0,1,0)*(O5:O260-N5:N260))</f>
        <v>0</v>
      </c>
      <c r="P264" s="5">
        <f t="array" ref="P264">SUM(IF(P5:P260&gt;O5:O260,1,0)*IF(O5:O260&lt;&gt;0,1,0)*(P5:P260-O5:O260))</f>
        <v>0</v>
      </c>
      <c r="Q264" s="5">
        <f t="array" ref="Q264">SUM(IF(Q5:Q260&gt;P5:P260,1,0)*IF(P5:P260&lt;&gt;0,1,0)*(Q5:Q260-P5:P260))</f>
        <v>0</v>
      </c>
      <c r="R264" s="5">
        <f t="array" ref="R264">SUM(IF(R5:R260&gt;Q5:Q260,1,0)*IF(Q5:Q260&lt;&gt;0,1,0)*(R5:R260-Q5:Q260))</f>
        <v>0</v>
      </c>
      <c r="S264" s="5">
        <f t="array" ref="S264">SUM(IF(S5:S260&gt;R5:R260,1,0)*IF(R5:R260&lt;&gt;0,1,0)*(S5:S260-R5:R260))</f>
        <v>0</v>
      </c>
      <c r="T264" s="5">
        <f t="array" ref="T264">SUM(IF(T5:T260&gt;S5:S260,1,0)*IF(S5:S260&lt;&gt;0,1,0)*(T5:T260-S5:S260))</f>
        <v>0</v>
      </c>
      <c r="U264" s="5">
        <f t="array" ref="U264">SUM(IF(U5:U260&gt;T5:T260,1,0)*IF(T5:T260&lt;&gt;0,1,0)*(U5:U260-T5:T260))</f>
        <v>0</v>
      </c>
      <c r="V264" s="5">
        <f t="array" ref="V264">SUM(IF(V5:V260&gt;U5:U260,1,0)*IF(U5:U260&lt;&gt;0,1,0)*(V5:V260-U5:U260))</f>
        <v>0</v>
      </c>
      <c r="W264" s="5">
        <f t="array" ref="W264">SUM(IF(W5:W260&gt;V5:V260,1,0)*IF(V5:V260&lt;&gt;0,1,0)*(W5:W260-V5:V260))</f>
        <v>0</v>
      </c>
      <c r="X264" s="5">
        <f t="array" ref="X264">SUM(IF(X5:X260&gt;W5:W260,1,0)*IF(W5:W260&lt;&gt;0,1,0)*(X5:X260-W5:W260))</f>
        <v>0</v>
      </c>
      <c r="Y264" s="5">
        <f t="array" ref="Y264">SUM(IF(Y5:Y260&gt;X5:X260,1,0)*IF(X5:X260&lt;&gt;0,1,0)*(Y5:Y260-X5:X260))</f>
        <v>0</v>
      </c>
      <c r="Z264" s="5">
        <f t="array" ref="Z264">SUM(IF(Z5:Z260&gt;Y5:Y260,1,0)*IF(Y5:Y260&lt;&gt;0,1,0)*(Z5:Z260-Y5:Y260))</f>
        <v>0</v>
      </c>
      <c r="AA264" s="5">
        <f t="array" ref="AA264">SUM(IF(AA5:AA260&gt;Z5:Z260,1,0)*IF(Z5:Z260&lt;&gt;0,1,0)*(AA5:AA260-Z5:Z260))</f>
        <v>0</v>
      </c>
      <c r="AB264" s="5">
        <f t="array" ref="AB264">SUM(IF(AB5:AB260&gt;AA5:AA260,1,0)*IF(AA5:AA260&lt;&gt;0,1,0)*(AB5:AB260-AA5:AA260))</f>
        <v>0</v>
      </c>
      <c r="AC264" s="5">
        <f t="array" ref="AC264">SUM(IF(AC5:AC260&gt;AB5:AB260,1,0)*IF(AB5:AB260&lt;&gt;0,1,0)*(AC5:AC260-AB5:AB260))</f>
        <v>0</v>
      </c>
      <c r="AD264" s="5">
        <f t="array" ref="AD264">SUM(IF(AD5:AD260&gt;AC5:AC260,1,0)*IF(AC5:AC260&lt;&gt;0,1,0)*(AD5:AD260-AC5:AC260))</f>
        <v>0</v>
      </c>
      <c r="AE264" s="5">
        <f t="array" ref="AE264">SUM(IF(AE5:AE260&gt;AD5:AD260,1,0)*IF(AD5:AD260&lt;&gt;0,1,0)*(AE5:AE260-AD5:AD260))</f>
        <v>0</v>
      </c>
      <c r="AF264" s="5">
        <f t="array" ref="AF264">SUM(IF(AF5:AF260&gt;AE5:AE260,1,0)*IF(AE5:AE260&lt;&gt;0,1,0)*(AF5:AF260-AE5:AE260))</f>
        <v>0</v>
      </c>
      <c r="AG264" s="5">
        <f t="array" ref="AG264">SUM(IF(AG5:AG260&gt;AF5:AF260,1,0)*IF(AF5:AF260&lt;&gt;0,1,0)*(AG5:AG260-AF5:AF260))</f>
        <v>0</v>
      </c>
      <c r="AH264" s="5">
        <f t="array" ref="AH264">SUM(IF(AH5:AH260&gt;AG5:AG260,1,0)*IF(AG5:AG260&lt;&gt;0,1,0)*(AH5:AH260-AG5:AG260))</f>
        <v>0</v>
      </c>
      <c r="AI264" s="5">
        <f t="array" ref="AI264">SUM(IF(AI5:AI260&gt;AH5:AH260,1,0)*IF(AH5:AH260&lt;&gt;0,1,0)*(AI5:AI260-AH5:AH260))</f>
        <v>0</v>
      </c>
      <c r="AJ264" s="5">
        <f t="array" ref="AJ264">SUM(IF(AJ5:AJ260&gt;AI5:AI260,1,0)*IF(AI5:AI260&lt;&gt;0,1,0)*(AJ5:AJ260-AI5:AI260))</f>
        <v>0</v>
      </c>
      <c r="AK264" s="5">
        <f t="array" ref="AK264">SUM(IF(AK5:AK260&gt;AJ5:AJ260,1,0)*IF(AJ5:AJ260&lt;&gt;0,1,0)*(AK5:AK260-AJ5:AJ260))</f>
        <v>0</v>
      </c>
      <c r="AL264" s="5">
        <f t="array" ref="AL264">SUM(IF(AL5:AL260&gt;AK5:AK260,1,0)*IF(AK5:AK260&lt;&gt;0,1,0)*(AL5:AL260-AK5:AK260))</f>
        <v>0</v>
      </c>
      <c r="AM264" s="5">
        <f t="array" ref="AM264">SUM(IF(AM5:AM260&gt;AL5:AL260,1,0)*IF(AL5:AL260&lt;&gt;0,1,0)*(AM5:AM260-AL5:AL260))</f>
        <v>0</v>
      </c>
      <c r="AN264" s="5">
        <f t="array" ref="AN264">SUM(IF(AN5:AN260&gt;AM5:AM260,1,0)*IF(AM5:AM260&lt;&gt;0,1,0)*(AN5:AN260-AM5:AM260))</f>
        <v>0</v>
      </c>
      <c r="AO264" s="5">
        <f t="array" ref="AO264">SUM(IF(AO5:AO260&gt;AN5:AN260,1,0)*IF(AN5:AN260&lt;&gt;0,1,0)*(AO5:AO260-AN5:AN260))</f>
        <v>0</v>
      </c>
      <c r="AP264" s="5">
        <f t="array" ref="AP264">SUM(IF(AP5:AP260&gt;AO5:AO260,1,0)*IF(AO5:AO260&lt;&gt;0,1,0)*(AP5:AP260-AO5:AO260))</f>
        <v>0</v>
      </c>
      <c r="AQ264" s="5">
        <f t="array" ref="AQ264">SUM(IF(AQ5:AQ260&gt;AP5:AP260,1,0)*IF(AP5:AP260&lt;&gt;0,1,0)*(AQ5:AQ260-AP5:AP260))</f>
        <v>0</v>
      </c>
      <c r="AR264" s="5">
        <f t="array" ref="AR264">SUM(IF(AR5:AR260&gt;AQ5:AQ260,1,0)*IF(AQ5:AQ260&lt;&gt;0,1,0)*(AR5:AR260-AQ5:AQ260))</f>
        <v>0</v>
      </c>
      <c r="AS264" s="5">
        <f t="array" ref="AS264">SUM(IF(AS5:AS260&gt;AR5:AR260,1,0)*IF(AR5:AR260&lt;&gt;0,1,0)*(AS5:AS260-AR5:AR260))</f>
        <v>0</v>
      </c>
      <c r="AT264" s="5">
        <f t="array" ref="AT264">SUM(IF(AT5:AT260&gt;AS5:AS260,1,0)*IF(AS5:AS260&lt;&gt;0,1,0)*(AT5:AT260-AS5:AS260))</f>
        <v>0</v>
      </c>
      <c r="AU264" s="5">
        <f t="array" ref="AU264">SUM(IF(AU5:AU260&gt;AT5:AT260,1,0)*IF(AT5:AT260&lt;&gt;0,1,0)*(AU5:AU260-AT5:AT260))</f>
        <v>0</v>
      </c>
      <c r="AV264" s="5">
        <f t="array" ref="AV264">SUM(IF(AV5:AV260&gt;AU5:AU260,1,0)*IF(AU5:AU260&lt;&gt;0,1,0)*(AV5:AV260-AU5:AU260))</f>
        <v>0</v>
      </c>
      <c r="AW264" s="5">
        <f t="array" ref="AW264">SUM(IF(AW5:AW260&gt;AV5:AV260,1,0)*IF(AV5:AV260&lt;&gt;0,1,0)*(AW5:AW260-AV5:AV260))</f>
        <v>0</v>
      </c>
      <c r="AX264" s="5">
        <f t="array" ref="AX264">SUM(IF(AX5:AX260&gt;AW5:AW260,1,0)*IF(AW5:AW260&lt;&gt;0,1,0)*(AX5:AX260-AW5:AW260))</f>
        <v>0</v>
      </c>
      <c r="AY264" s="5">
        <f t="array" ref="AY264">SUM(IF(AY5:AY260&gt;AX5:AX260,1,0)*IF(AX5:AX260&lt;&gt;0,1,0)*(AY5:AY260-AX5:AX260))</f>
        <v>0</v>
      </c>
      <c r="AZ264" s="5">
        <f t="array" ref="AZ264">SUM(IF(AZ5:AZ260&gt;AY5:AY260,1,0)*IF(AY5:AY260&lt;&gt;0,1,0)*(AZ5:AZ260-AY5:AY260))</f>
        <v>0</v>
      </c>
      <c r="BA264" s="5">
        <f t="array" ref="BA264">SUM(IF(BA5:BA260&gt;AZ5:AZ260,1,0)*IF(AZ5:AZ260&lt;&gt;0,1,0)*(BA5:BA260-AZ5:AZ260))</f>
        <v>0</v>
      </c>
      <c r="BB264" s="5">
        <f t="array" ref="BB264">SUM(IF(BB5:BB260&gt;BA5:BA260,1,0)*IF(BA5:BA260&lt;&gt;0,1,0)*(BB5:BB260-BA5:BA260))</f>
        <v>0</v>
      </c>
      <c r="BC264" s="5">
        <f t="array" ref="BC264">SUM(IF(BC5:BC260&gt;BB5:BB260,1,0)*IF(BB5:BB260&lt;&gt;0,1,0)*(BC5:BC260-BB5:BB260))</f>
        <v>0</v>
      </c>
      <c r="BD264" s="5">
        <f t="array" ref="BD264">SUM(IF(BD5:BD260&gt;BC5:BC260,1,0)*IF(BC5:BC260&lt;&gt;0,1,0)*(BD5:BD260-BC5:BC260))</f>
        <v>0</v>
      </c>
      <c r="BE264" s="5">
        <f t="array" ref="BE264">SUM(IF(BE5:BE260&gt;BD5:BD260,1,0)*IF(BD5:BD260&lt;&gt;0,1,0)*(BE5:BE260-BD5:BD260))</f>
        <v>0</v>
      </c>
      <c r="BF264" s="5">
        <f t="array" ref="BF264">SUM(IF(BF5:BF260&gt;BE5:BE260,1,0)*IF(BE5:BE260&lt;&gt;0,1,0)*(BF5:BF260-BE5:BE260))</f>
        <v>0</v>
      </c>
      <c r="BG264" s="5">
        <f t="array" ref="BG264">SUM(IF(BG5:BG260&gt;BF5:BF260,1,0)*IF(BF5:BF260&lt;&gt;0,1,0)*(BG5:BG260-BF5:BF260))</f>
        <v>0</v>
      </c>
      <c r="BH264" s="5">
        <f t="array" ref="BH264">SUM(IF(BH5:BH260&gt;BG5:BG260,1,0)*IF(BG5:BG260&lt;&gt;0,1,0)*(BH5:BH260-BG5:BG260))</f>
        <v>0</v>
      </c>
      <c r="BI264" s="5">
        <f t="array" ref="BI264">SUM(IF(BI5:BI260&gt;BH5:BH260,1,0)*IF(BH5:BH260&lt;&gt;0,1,0)*(BI5:BI260-BH5:BH260))</f>
        <v>0</v>
      </c>
      <c r="BJ264" s="5">
        <f t="array" ref="BJ264">SUM(IF(BJ5:BJ260&gt;BI5:BI260,1,0)*IF(BI5:BI260&lt;&gt;0,1,0)*(BJ5:BJ260-BI5:BI260))</f>
        <v>0</v>
      </c>
      <c r="BK264" s="5">
        <f t="array" ref="BK264">SUM(IF(BK5:BK260&gt;BJ5:BJ260,1,0)*IF(BJ5:BJ260&lt;&gt;0,1,0)*(BK5:BK260-BJ5:BJ260))</f>
        <v>0</v>
      </c>
      <c r="BL264" s="5">
        <f t="array" ref="BL264">SUM(IF(BL5:BL260&gt;BK5:BK260,1,0)*IF(BK5:BK260&lt;&gt;0,1,0)*(BL5:BL260-BK5:BK260))</f>
        <v>0</v>
      </c>
      <c r="BM264" s="5">
        <f t="array" ref="BM264">SUM(IF(BM5:BM260&gt;BL5:BL260,1,0)*IF(BL5:BL260&lt;&gt;0,1,0)*(BM5:BM260-BL5:BL260))</f>
        <v>0</v>
      </c>
      <c r="BN264" s="5">
        <f t="array" ref="BN264">SUM(IF(BN5:BN260&gt;BM5:BM260,1,0)*IF(BM5:BM260&lt;&gt;0,1,0)*(BN5:BN260-BM5:BM260))</f>
        <v>0</v>
      </c>
      <c r="BO264" s="5">
        <f t="array" ref="BO264">SUM(IF(BO5:BO260&gt;BN5:BN260,1,0)*IF(BN5:BN260&lt;&gt;0,1,0)*(BO5:BO260-BN5:BN260))</f>
        <v>0</v>
      </c>
      <c r="BP264" s="5">
        <f t="array" ref="BP264">SUM(IF(BP5:BP260&gt;BO5:BO260,1,0)*IF(BO5:BO260&lt;&gt;0,1,0)*(BP5:BP260-BO5:BO260))</f>
        <v>0</v>
      </c>
      <c r="BQ264" s="5">
        <f t="array" ref="BQ264">SUM(IF(BQ5:BQ260&gt;BP5:BP260,1,0)*IF(BP5:BP260&lt;&gt;0,1,0)*(BQ5:BQ260-BP5:BP260))</f>
        <v>0</v>
      </c>
      <c r="BR264" s="5">
        <f t="array" ref="BR264">SUM(IF(BR5:BR260&gt;BQ5:BQ260,1,0)*IF(BQ5:BQ260&lt;&gt;0,1,0)*(BR5:BR260-BQ5:BQ260))</f>
        <v>0</v>
      </c>
      <c r="BS264" s="5">
        <f t="array" ref="BS264">SUM(IF(BS5:BS260&gt;BR5:BR260,1,0)*IF(BR5:BR260&lt;&gt;0,1,0)*(BS5:BS260-BR5:BR260))</f>
        <v>0</v>
      </c>
      <c r="BT264" s="5">
        <f t="array" ref="BT264">SUM(IF(BT5:BT260&gt;BS5:BS260,1,0)*IF(BS5:BS260&lt;&gt;0,1,0)*(BT5:BT260-BS5:BS260))</f>
        <v>0</v>
      </c>
      <c r="BU264" s="5">
        <f t="array" ref="BU264">SUM(IF(BU5:BU260&gt;BT5:BT260,1,0)*IF(BT5:BT260&lt;&gt;0,1,0)*(BU5:BU260-BT5:BT260))</f>
        <v>0</v>
      </c>
      <c r="BV264" s="5">
        <f t="array" ref="BV264">SUM(IF(BV5:BV260&gt;BU5:BU260,1,0)*IF(BU5:BU260&lt;&gt;0,1,0)*(BV5:BV260-BU5:BU260))</f>
        <v>0</v>
      </c>
      <c r="BW264" s="5">
        <f t="array" ref="BW264">SUM(IF(BW5:BW260&gt;BV5:BV260,1,0)*IF(BV5:BV260&lt;&gt;0,1,0)*(BW5:BW260-BV5:BV260))</f>
        <v>0</v>
      </c>
      <c r="BX264" s="5">
        <f t="array" ref="BX264">SUM(IF(BX5:BX260&gt;BW5:BW260,1,0)*IF(BW5:BW260&lt;&gt;0,1,0)*(BX5:BX260-BW5:BW260))</f>
        <v>0</v>
      </c>
      <c r="BY264" s="5">
        <f t="array" ref="BY264">SUM(IF(BY5:BY260&gt;BX5:BX260,1,0)*IF(BX5:BX260&lt;&gt;0,1,0)*(BY5:BY260-BX5:BX260))</f>
        <v>0</v>
      </c>
      <c r="BZ264" s="5">
        <f t="array" ref="BZ264">SUM(IF(BZ5:BZ260&gt;BY5:BY260,1,0)*IF(BY5:BY260&lt;&gt;0,1,0)*(BZ5:BZ260-BY5:BY260))</f>
        <v>0</v>
      </c>
      <c r="CA264" s="5">
        <f t="array" ref="CA264">SUM(IF(CA5:CA260&gt;BZ5:BZ260,1,0)*IF(BZ5:BZ260&lt;&gt;0,1,0)*(CA5:CA260-BZ5:BZ260))</f>
        <v>0</v>
      </c>
      <c r="CB264" s="5">
        <f t="array" ref="CB264">SUM(IF(CB5:CB260&gt;CA5:CA260,1,0)*IF(CA5:CA260&lt;&gt;0,1,0)*(CB5:CB260-CA5:CA260))</f>
        <v>0</v>
      </c>
      <c r="CC264" s="5">
        <f t="array" ref="CC264">SUM(IF(CC5:CC260&gt;CB5:CB260,1,0)*IF(CB5:CB260&lt;&gt;0,1,0)*(CC5:CC260-CB5:CB260))</f>
        <v>0</v>
      </c>
      <c r="CD264" s="5">
        <f t="array" ref="CD264">SUM(IF(CD5:CD260&gt;CC5:CC260,1,0)*IF(CC5:CC260&lt;&gt;0,1,0)*(CD5:CD260-CC5:CC260))</f>
        <v>0</v>
      </c>
      <c r="CE264" s="5">
        <f t="array" ref="CE264">SUM(IF(CE5:CE260&gt;CD5:CD260,1,0)*IF(CD5:CD260&lt;&gt;0,1,0)*(CE5:CE260-CD5:CD260))</f>
        <v>0</v>
      </c>
      <c r="CF264" s="5">
        <f t="array" ref="CF264">SUM(IF(CF5:CF260&gt;CE5:CE260,1,0)*IF(CE5:CE260&lt;&gt;0,1,0)*(CF5:CF260-CE5:CE260))</f>
        <v>0</v>
      </c>
      <c r="CG264" s="5">
        <f t="array" ref="CG264">SUM(IF(CG5:CG260&gt;CF5:CF260,1,0)*IF(CF5:CF260&lt;&gt;0,1,0)*(CG5:CG260-CF5:CF260))</f>
        <v>0</v>
      </c>
      <c r="CH264" s="5">
        <f t="array" ref="CH264">SUM(IF(CH5:CH260&gt;CG5:CG260,1,0)*IF(CG5:CG260&lt;&gt;0,1,0)*(CH5:CH260-CG5:CG260))</f>
        <v>0</v>
      </c>
      <c r="CI264" s="5">
        <f t="array" ref="CI264">SUM(IF(CI5:CI260&gt;CH5:CH260,1,0)*IF(CH5:CH260&lt;&gt;0,1,0)*(CI5:CI260-CH5:CH260))</f>
        <v>0</v>
      </c>
      <c r="CJ264" s="5">
        <f t="array" ref="CJ264">SUM(IF(CJ5:CJ260&gt;CI5:CI260,1,0)*IF(CI5:CI260&lt;&gt;0,1,0)*(CJ5:CJ260-CI5:CI260))</f>
        <v>0</v>
      </c>
      <c r="CK264" s="5">
        <f t="array" ref="CK264">SUM(IF(CK5:CK260&gt;CJ5:CJ260,1,0)*IF(CJ5:CJ260&lt;&gt;0,1,0)*(CK5:CK260-CJ5:CJ260))</f>
        <v>0</v>
      </c>
      <c r="CL264" s="5">
        <f t="array" ref="CL264">SUM(IF(CL5:CL260&gt;CK5:CK260,1,0)*IF(CK5:CK260&lt;&gt;0,1,0)*(CL5:CL260-CK5:CK260))</f>
        <v>0</v>
      </c>
      <c r="CM264" s="5">
        <f t="array" ref="CM264">SUM(IF(CM5:CM260&gt;CL5:CL260,1,0)*IF(CL5:CL260&lt;&gt;0,1,0)*(CM5:CM260-CL5:CL260))</f>
        <v>0</v>
      </c>
      <c r="CN264" s="5">
        <f t="array" ref="CN264">SUM(IF(CN5:CN260&gt;CM5:CM260,1,0)*IF(CM5:CM260&lt;&gt;0,1,0)*(CN5:CN260-CM5:CM260))</f>
        <v>0</v>
      </c>
      <c r="CO264" s="5">
        <f t="array" ref="CO264">SUM(IF(CO5:CO260&gt;CN5:CN260,1,0)*IF(CN5:CN260&lt;&gt;0,1,0)*(CO5:CO260-CN5:CN260))</f>
        <v>0</v>
      </c>
      <c r="CP264" s="5">
        <f t="array" ref="CP264">SUM(IF(CP5:CP260&gt;CO5:CO260,1,0)*IF(CO5:CO260&lt;&gt;0,1,0)*(CP5:CP260-CO5:CO260))</f>
        <v>0</v>
      </c>
      <c r="CQ264" s="5">
        <f t="array" ref="CQ264">SUM(IF(CQ5:CQ260&gt;CP5:CP260,1,0)*IF(CP5:CP260&lt;&gt;0,1,0)*(CQ5:CQ260-CP5:CP260))</f>
        <v>0</v>
      </c>
      <c r="CR264" s="5">
        <f t="array" ref="CR264">SUM(IF(CR5:CR260&gt;CQ5:CQ260,1,0)*IF(CQ5:CQ260&lt;&gt;0,1,0)*(CR5:CR260-CQ5:CQ260))</f>
        <v>0</v>
      </c>
      <c r="CS264" s="5">
        <f t="array" ref="CS264">SUM(IF(CS5:CS260&gt;CR5:CR260,1,0)*IF(CR5:CR260&lt;&gt;0,1,0)*(CS5:CS260-CR5:CR260))</f>
        <v>0</v>
      </c>
      <c r="CT264" s="5">
        <f t="array" ref="CT264">SUM(IF(CT5:CT260&gt;CS5:CS260,1,0)*IF(CS5:CS260&lt;&gt;0,1,0)*(CT5:CT260-CS5:CS260))</f>
        <v>0</v>
      </c>
      <c r="CU264" s="5">
        <f t="array" ref="CU264">SUM(IF(CU5:CU260&gt;CT5:CT260,1,0)*IF(CT5:CT260&lt;&gt;0,1,0)*(CU5:CU260-CT5:CT260))</f>
        <v>0</v>
      </c>
      <c r="CV264" s="5">
        <f t="array" ref="CV264">SUM(IF(CV5:CV260&gt;CU5:CU260,1,0)*IF(CU5:CU260&lt;&gt;0,1,0)*(CV5:CV260-CU5:CU260))</f>
        <v>0</v>
      </c>
      <c r="CW264" s="5">
        <f t="array" ref="CW264">SUM(IF(CW5:CW260&gt;CV5:CV260,1,0)*IF(CV5:CV260&lt;&gt;0,1,0)*(CW5:CW260-CV5:CV260))</f>
        <v>0</v>
      </c>
      <c r="CX264" s="5">
        <f t="array" ref="CX264">SUM(IF(CX5:CX260&gt;CW5:CW260,1,0)*IF(CW5:CW260&lt;&gt;0,1,0)*(CX5:CX260-CW5:CW260))</f>
        <v>0</v>
      </c>
      <c r="CY264" s="5">
        <f t="array" ref="CY264">SUM(IF(CY5:CY260&gt;CX5:CX260,1,0)*IF(CX5:CX260&lt;&gt;0,1,0)*(CY5:CY260-CX5:CX260))</f>
        <v>0</v>
      </c>
      <c r="CZ264" s="5">
        <f t="array" ref="CZ264">SUM(IF(CZ5:CZ260&gt;CY5:CY260,1,0)*IF(CY5:CY260&lt;&gt;0,1,0)*(CZ5:CZ260-CY5:CY260))</f>
        <v>0</v>
      </c>
      <c r="DA264" s="5">
        <f t="array" ref="DA264">SUM(IF(DA5:DA260&gt;CZ5:CZ260,1,0)*IF(CZ5:CZ260&lt;&gt;0,1,0)*(DA5:DA260-CZ5:CZ260))</f>
        <v>0</v>
      </c>
      <c r="DB264" s="5">
        <f t="array" ref="DB264">SUM(IF(DB5:DB260&gt;DA5:DA260,1,0)*IF(DA5:DA260&lt;&gt;0,1,0)*(DB5:DB260-DA5:DA260))</f>
        <v>0</v>
      </c>
      <c r="DC264" s="5">
        <f t="array" ref="DC264">SUM(IF(DC5:DC260&gt;DB5:DB260,1,0)*IF(DB5:DB260&lt;&gt;0,1,0)*(DC5:DC260-DB5:DB260))</f>
        <v>0</v>
      </c>
      <c r="DD264" s="5">
        <f t="array" ref="DD264">SUM(IF(DD5:DD260&gt;DC5:DC260,1,0)*IF(DC5:DC260&lt;&gt;0,1,0)*(DD5:DD260-DC5:DC260))</f>
        <v>0</v>
      </c>
      <c r="DE264" s="5">
        <f t="array" ref="DE264">SUM(IF(DE5:DE260&gt;DD5:DD260,1,0)*IF(DD5:DD260&lt;&gt;0,1,0)*(DE5:DE260-DD5:DD260))</f>
        <v>0</v>
      </c>
      <c r="DF264" s="5">
        <f t="array" ref="DF264">SUM(IF(DF5:DF260&gt;DE5:DE260,1,0)*IF(DE5:DE260&lt;&gt;0,1,0)*(DF5:DF260-DE5:DE260))</f>
        <v>0</v>
      </c>
      <c r="DG264" s="5">
        <f t="array" ref="DG264">SUM(IF(DG5:DG260&gt;DF5:DF260,1,0)*IF(DF5:DF260&lt;&gt;0,1,0)*(DG5:DG260-DF5:DF260))</f>
        <v>0</v>
      </c>
      <c r="DH264" s="5">
        <f t="array" ref="DH264">SUM(IF(DH5:DH260&gt;DG5:DG260,1,0)*IF(DG5:DG260&lt;&gt;0,1,0)*(DH5:DH260-DG5:DG260))</f>
        <v>0</v>
      </c>
      <c r="DI264" s="5">
        <f t="array" ref="DI264">SUM(IF(DI5:DI260&gt;DH5:DH260,1,0)*IF(DH5:DH260&lt;&gt;0,1,0)*(DI5:DI260-DH5:DH260))</f>
        <v>0</v>
      </c>
      <c r="DJ264" s="5">
        <f t="array" ref="DJ264">SUM(IF(DJ5:DJ260&gt;DI5:DI260,1,0)*IF(DI5:DI260&lt;&gt;0,1,0)*(DJ5:DJ260-DI5:DI260))</f>
        <v>0</v>
      </c>
      <c r="DK264" s="5">
        <f t="array" ref="DK264">SUM(IF(DK5:DK260&gt;DJ5:DJ260,1,0)*IF(DJ5:DJ260&lt;&gt;0,1,0)*(DK5:DK260-DJ5:DJ260))</f>
        <v>0</v>
      </c>
      <c r="DL264" s="5">
        <f t="array" ref="DL264">SUM(IF(DL5:DL260&gt;DK5:DK260,1,0)*IF(DK5:DK260&lt;&gt;0,1,0)*(DL5:DL260-DK5:DK260))</f>
        <v>197</v>
      </c>
      <c r="DM264" s="5">
        <f t="array" ref="DM264">SUM(IF(DM5:DM260&gt;DL5:DL260,1,0)*IF(DL5:DL260&lt;&gt;0,1,0)*(DM5:DM260-DL5:DL260))</f>
        <v>4201.5</v>
      </c>
      <c r="DN264" s="5">
        <f t="array" ref="DN264">SUM(IF(DN5:DN260&gt;DM5:DM260,1,0)*IF(DM5:DM260&lt;&gt;0,1,0)*(DN5:DN260-DM5:DM260))</f>
        <v>3191.2500000000095</v>
      </c>
      <c r="DO264" s="5">
        <f t="array" ref="DO264">SUM(IF(DO5:DO260&gt;DN5:DN260,1,0)*IF(DN5:DN260&lt;&gt;0,1,0)*(DO5:DO260-DN5:DN260))</f>
        <v>419.08333333333303</v>
      </c>
      <c r="DP264" s="5">
        <f t="array" ref="DP264">SUM(IF(DP5:DP260&gt;DO5:DO260,1,0)*IF(DO5:DO260&lt;&gt;0,1,0)*(DP5:DP260-DO5:DO260))</f>
        <v>463.91666666666697</v>
      </c>
      <c r="DQ264" s="5">
        <f t="array" ref="DQ264">SUM(IF(DQ5:DQ260&gt;DP5:DP260,1,0)*IF(DP5:DP260&lt;&gt;0,1,0)*(DQ5:DQ260-DP5:DP260))</f>
        <v>18323.749999999989</v>
      </c>
      <c r="DR264" s="5">
        <f t="array" ref="DR264">SUM(IF(DR5:DR260&gt;DQ5:DQ260,1,0)*IF(DQ5:DQ260&lt;&gt;0,1,0)*(DR5:DR260-DQ5:DQ260))</f>
        <v>694.33333333333394</v>
      </c>
      <c r="DS264" s="5">
        <f t="array" ref="DS264">SUM(IF(DS5:DS260&gt;DR5:DR260,1,0)*IF(DR5:DR260&lt;&gt;0,1,0)*(DS5:DS260-DR5:DR260))</f>
        <v>337.08333333333303</v>
      </c>
      <c r="DT264" s="5">
        <f t="array" ref="DT264">SUM(IF(DT5:DT260&gt;DS5:DS260,1,0)*IF(DS5:DS260&lt;&gt;0,1,0)*(DT5:DT260-DS5:DS260))</f>
        <v>23349.666666666664</v>
      </c>
      <c r="DU264" s="5">
        <f t="array" ref="DU264">SUM(IF(DU5:DU260&gt;DT5:DT260,1,0)*IF(DT5:DT260&lt;&gt;0,1,0)*(DU5:DU260-DT5:DT260))</f>
        <v>559.33333333333303</v>
      </c>
      <c r="DV264" s="5">
        <f t="array" ref="DV264">SUM(IF(DV5:DV260&gt;DU5:DU260,1,0)*IF(DU5:DU260&lt;&gt;0,1,0)*(DV5:DV260-DU5:DU260))</f>
        <v>13638.583333333334</v>
      </c>
      <c r="DW264" s="5">
        <f t="array" ref="DW264">SUM(IF(DW5:DW260&gt;DV5:DV260,1,0)*IF(DV5:DV260&lt;&gt;0,1,0)*(DW5:DW260-DV5:DV260))</f>
        <v>28252.666666666664</v>
      </c>
      <c r="DX264" s="5">
        <f t="array" ref="DX264">SUM(IF(DX5:DX260&gt;DW5:DW260,1,0)*IF(DW5:DW260&lt;&gt;0,1,0)*(DX5:DX260-DW5:DW260))</f>
        <v>257.58333333333394</v>
      </c>
      <c r="DY264" s="5">
        <f t="array" ref="DY264">SUM(IF(DY5:DY260&gt;DX5:DX260,1,0)*IF(DX5:DX260&lt;&gt;0,1,0)*(DY5:DY260-DX5:DX260))</f>
        <v>153.5</v>
      </c>
      <c r="DZ264" s="5">
        <f t="array" ref="DZ264">SUM(IF(DZ5:DZ260&gt;DY5:DY260,1,0)*IF(DY5:DY260&lt;&gt;0,1,0)*(DZ5:DZ260-DY5:DY260))</f>
        <v>4505.6666666666661</v>
      </c>
      <c r="EA264" s="5">
        <f t="array" ref="EA264">SUM(IF(EA5:EA260&gt;DZ5:DZ260,1,0)*IF(DZ5:DZ260&lt;&gt;0,1,0)*(EA5:EA260-DZ5:DZ260))</f>
        <v>63.666666666667879</v>
      </c>
      <c r="EB264" s="5">
        <f t="array" ref="EB264">SUM(IF(EB5:EB260&gt;EA5:EA260,1,0)*IF(EA5:EA260&lt;&gt;0,1,0)*(EB5:EB260-EA5:EA260))</f>
        <v>8730.8333333333339</v>
      </c>
      <c r="EC264" s="5">
        <f t="array" ref="EC264">SUM(IF(EC5:EC260&gt;EB5:EB260,1,0)*IF(EB5:EB260&lt;&gt;0,1,0)*(EC5:EC260-EB5:EB260))</f>
        <v>0</v>
      </c>
      <c r="ED264" s="5">
        <f t="array" ref="ED264">SUM(IF(ED5:ED260&gt;EC5:EC260,1,0)*IF(EC5:EC260&lt;&gt;0,1,0)*(ED5:ED260-EC5:EC260))</f>
        <v>0</v>
      </c>
      <c r="EE264" s="5">
        <f t="array" ref="EE264">SUM(IF(EE5:EE260&gt;ED5:ED260,1,0)*IF(ED5:ED260&lt;&gt;0,1,0)*(EE5:EE260-ED5:ED260))</f>
        <v>27833.583333333336</v>
      </c>
      <c r="EF264" s="5">
        <f t="array" ref="EF264">SUM(IF(EF5:EF260&gt;EE5:EE260,1,0)*IF(EE5:EE260&lt;&gt;0,1,0)*(EF5:EF260-EE5:EE260))</f>
        <v>56.33333333333394</v>
      </c>
      <c r="EG264" s="5">
        <f t="array" ref="EG264">SUM(IF(EG5:EG260&gt;EF5:EF260,1,0)*IF(EF5:EF260&lt;&gt;0,1,0)*(EG5:EG260-EF5:EF260))</f>
        <v>0</v>
      </c>
      <c r="EH264" s="5">
        <f t="array" ref="EH264">SUM(IF(EH5:EH260&gt;EG5:EG260,1,0)*IF(EG5:EG260&lt;&gt;0,1,0)*(EH5:EH260-EG5:EG260))</f>
        <v>681.91666666666606</v>
      </c>
    </row>
    <row r="265" spans="3:140" customFormat="1" x14ac:dyDescent="0.25">
      <c r="D265" s="5" t="s">
        <v>5</v>
      </c>
      <c r="E265" s="5"/>
      <c r="F265" s="5"/>
      <c r="G265" s="5">
        <f t="array" ref="G265">SUM(IF(G5:G260&lt;F5:F260,1,0)*IF(G5:G260&lt;&gt;0,1,0)*(G5:G260-F5:F260))</f>
        <v>0</v>
      </c>
      <c r="H265" s="5">
        <f t="array" ref="H265">SUM(IF(H5:H260&lt;G5:G260,1,0)*IF(H5:H260&lt;&gt;0,1,0)*(H5:H260-G5:G260))</f>
        <v>0</v>
      </c>
      <c r="I265" s="5">
        <f t="array" ref="I265">SUM(IF(I5:I260&lt;H5:H260,1,0)*IF(I5:I260&lt;&gt;0,1,0)*(I5:I260-H5:H260))</f>
        <v>0</v>
      </c>
      <c r="J265" s="5">
        <f t="array" ref="J265">SUM(IF(J5:J260&lt;I5:I260,1,0)*IF(J5:J260&lt;&gt;0,1,0)*(J5:J260-I5:I260))</f>
        <v>0</v>
      </c>
      <c r="K265" s="5">
        <f t="array" ref="K265">SUM(IF(K5:K260&lt;J5:J260,1,0)*IF(K5:K260&lt;&gt;0,1,0)*(K5:K260-J5:J260))</f>
        <v>0</v>
      </c>
      <c r="L265" s="5">
        <f t="array" ref="L265">SUM(IF(L5:L260&lt;K5:K260,1,0)*IF(L5:L260&lt;&gt;0,1,0)*(L5:L260-K5:K260))</f>
        <v>0</v>
      </c>
      <c r="M265" s="5">
        <f t="array" ref="M265">SUM(IF(M5:M260&lt;L5:L260,1,0)*IF(M5:M260&lt;&gt;0,1,0)*(M5:M260-L5:L260))</f>
        <v>0</v>
      </c>
      <c r="N265" s="5">
        <f t="array" ref="N265">SUM(IF(N5:N260&lt;M5:M260,1,0)*IF(N5:N260&lt;&gt;0,1,0)*(N5:N260-M5:M260))</f>
        <v>0</v>
      </c>
      <c r="O265" s="5">
        <f t="array" ref="O265">SUM(IF(O5:O260&lt;N5:N260,1,0)*IF(O5:O260&lt;&gt;0,1,0)*(O5:O260-N5:N260))</f>
        <v>0</v>
      </c>
      <c r="P265" s="5">
        <f t="array" ref="P265">SUM(IF(P5:P260&lt;O5:O260,1,0)*IF(P5:P260&lt;&gt;0,1,0)*(P5:P260-O5:O260))</f>
        <v>0</v>
      </c>
      <c r="Q265" s="5">
        <f t="array" ref="Q265">SUM(IF(Q5:Q260&lt;P5:P260,1,0)*IF(Q5:Q260&lt;&gt;0,1,0)*(Q5:Q260-P5:P260))</f>
        <v>0</v>
      </c>
      <c r="R265" s="5">
        <f t="array" ref="R265">SUM(IF(R5:R260&lt;Q5:Q260,1,0)*IF(R5:R260&lt;&gt;0,1,0)*(R5:R260-Q5:Q260))</f>
        <v>0</v>
      </c>
      <c r="S265" s="5">
        <f t="array" ref="S265">SUM(IF(S5:S260&lt;R5:R260,1,0)*IF(S5:S260&lt;&gt;0,1,0)*(S5:S260-R5:R260))</f>
        <v>0</v>
      </c>
      <c r="T265" s="5">
        <f t="array" ref="T265">SUM(IF(T5:T260&lt;S5:S260,1,0)*IF(T5:T260&lt;&gt;0,1,0)*(T5:T260-S5:S260))</f>
        <v>0</v>
      </c>
      <c r="U265" s="5">
        <f t="array" ref="U265">SUM(IF(U5:U260&lt;T5:T260,1,0)*IF(U5:U260&lt;&gt;0,1,0)*(U5:U260-T5:T260))</f>
        <v>0</v>
      </c>
      <c r="V265" s="5">
        <f t="array" ref="V265">SUM(IF(V5:V260&lt;U5:U260,1,0)*IF(V5:V260&lt;&gt;0,1,0)*(V5:V260-U5:U260))</f>
        <v>0</v>
      </c>
      <c r="W265" s="5">
        <f t="array" ref="W265">SUM(IF(W5:W260&lt;V5:V260,1,0)*IF(W5:W260&lt;&gt;0,1,0)*(W5:W260-V5:V260))</f>
        <v>0</v>
      </c>
      <c r="X265" s="5">
        <f t="array" ref="X265">SUM(IF(X5:X260&lt;W5:W260,1,0)*IF(X5:X260&lt;&gt;0,1,0)*(X5:X260-W5:W260))</f>
        <v>0</v>
      </c>
      <c r="Y265" s="5">
        <f t="array" ref="Y265">SUM(IF(Y5:Y260&lt;X5:X260,1,0)*IF(Y5:Y260&lt;&gt;0,1,0)*(Y5:Y260-X5:X260))</f>
        <v>0</v>
      </c>
      <c r="Z265" s="5">
        <f t="array" ref="Z265">SUM(IF(Z5:Z260&lt;Y5:Y260,1,0)*IF(Z5:Z260&lt;&gt;0,1,0)*(Z5:Z260-Y5:Y260))</f>
        <v>0</v>
      </c>
      <c r="AA265" s="5">
        <f t="array" ref="AA265">SUM(IF(AA5:AA260&lt;Z5:Z260,1,0)*IF(AA5:AA260&lt;&gt;0,1,0)*(AA5:AA260-Z5:Z260))</f>
        <v>0</v>
      </c>
      <c r="AB265" s="5">
        <f t="array" ref="AB265">SUM(IF(AB5:AB260&lt;AA5:AA260,1,0)*IF(AB5:AB260&lt;&gt;0,1,0)*(AB5:AB260-AA5:AA260))</f>
        <v>0</v>
      </c>
      <c r="AC265" s="5">
        <f t="array" ref="AC265">SUM(IF(AC5:AC260&lt;AB5:AB260,1,0)*IF(AC5:AC260&lt;&gt;0,1,0)*(AC5:AC260-AB5:AB260))</f>
        <v>0</v>
      </c>
      <c r="AD265" s="5">
        <f t="array" ref="AD265">SUM(IF(AD5:AD260&lt;AC5:AC260,1,0)*IF(AD5:AD260&lt;&gt;0,1,0)*(AD5:AD260-AC5:AC260))</f>
        <v>0</v>
      </c>
      <c r="AE265" s="5">
        <f t="array" ref="AE265">SUM(IF(AE5:AE260&lt;AD5:AD260,1,0)*IF(AE5:AE260&lt;&gt;0,1,0)*(AE5:AE260-AD5:AD260))</f>
        <v>0</v>
      </c>
      <c r="AF265" s="5">
        <f t="array" ref="AF265">SUM(IF(AF5:AF260&lt;AE5:AE260,1,0)*IF(AF5:AF260&lt;&gt;0,1,0)*(AF5:AF260-AE5:AE260))</f>
        <v>0</v>
      </c>
      <c r="AG265" s="5">
        <f t="array" ref="AG265">SUM(IF(AG5:AG260&lt;AF5:AF260,1,0)*IF(AG5:AG260&lt;&gt;0,1,0)*(AG5:AG260-AF5:AF260))</f>
        <v>0</v>
      </c>
      <c r="AH265" s="5">
        <f t="array" ref="AH265">SUM(IF(AH5:AH260&lt;AG5:AG260,1,0)*IF(AH5:AH260&lt;&gt;0,1,0)*(AH5:AH260-AG5:AG260))</f>
        <v>0</v>
      </c>
      <c r="AI265" s="5">
        <f t="array" ref="AI265">SUM(IF(AI5:AI260&lt;AH5:AH260,1,0)*IF(AI5:AI260&lt;&gt;0,1,0)*(AI5:AI260-AH5:AH260))</f>
        <v>0</v>
      </c>
      <c r="AJ265" s="5">
        <f t="array" ref="AJ265">SUM(IF(AJ5:AJ260&lt;AI5:AI260,1,0)*IF(AJ5:AJ260&lt;&gt;0,1,0)*(AJ5:AJ260-AI5:AI260))</f>
        <v>0</v>
      </c>
      <c r="AK265" s="5">
        <f t="array" ref="AK265">SUM(IF(AK5:AK260&lt;AJ5:AJ260,1,0)*IF(AK5:AK260&lt;&gt;0,1,0)*(AK5:AK260-AJ5:AJ260))</f>
        <v>0</v>
      </c>
      <c r="AL265" s="5">
        <f t="array" ref="AL265">SUM(IF(AL5:AL260&lt;AK5:AK260,1,0)*IF(AL5:AL260&lt;&gt;0,1,0)*(AL5:AL260-AK5:AK260))</f>
        <v>0</v>
      </c>
      <c r="AM265" s="5">
        <f t="array" ref="AM265">SUM(IF(AM5:AM260&lt;AL5:AL260,1,0)*IF(AM5:AM260&lt;&gt;0,1,0)*(AM5:AM260-AL5:AL260))</f>
        <v>0</v>
      </c>
      <c r="AN265" s="5">
        <f t="array" ref="AN265">SUM(IF(AN5:AN260&lt;AM5:AM260,1,0)*IF(AN5:AN260&lt;&gt;0,1,0)*(AN5:AN260-AM5:AM260))</f>
        <v>0</v>
      </c>
      <c r="AO265" s="5">
        <f t="array" ref="AO265">SUM(IF(AO5:AO260&lt;AN5:AN260,1,0)*IF(AO5:AO260&lt;&gt;0,1,0)*(AO5:AO260-AN5:AN260))</f>
        <v>0</v>
      </c>
      <c r="AP265" s="5">
        <f t="array" ref="AP265">SUM(IF(AP5:AP260&lt;AO5:AO260,1,0)*IF(AP5:AP260&lt;&gt;0,1,0)*(AP5:AP260-AO5:AO260))</f>
        <v>0</v>
      </c>
      <c r="AQ265" s="5">
        <f t="array" ref="AQ265">SUM(IF(AQ5:AQ260&lt;AP5:AP260,1,0)*IF(AQ5:AQ260&lt;&gt;0,1,0)*(AQ5:AQ260-AP5:AP260))</f>
        <v>0</v>
      </c>
      <c r="AR265" s="5">
        <f t="array" ref="AR265">SUM(IF(AR5:AR260&lt;AQ5:AQ260,1,0)*IF(AR5:AR260&lt;&gt;0,1,0)*(AR5:AR260-AQ5:AQ260))</f>
        <v>0</v>
      </c>
      <c r="AS265" s="5">
        <f t="array" ref="AS265">SUM(IF(AS5:AS260&lt;AR5:AR260,1,0)*IF(AS5:AS260&lt;&gt;0,1,0)*(AS5:AS260-AR5:AR260))</f>
        <v>0</v>
      </c>
      <c r="AT265" s="5">
        <f t="array" ref="AT265">SUM(IF(AT5:AT260&lt;AS5:AS260,1,0)*IF(AT5:AT260&lt;&gt;0,1,0)*(AT5:AT260-AS5:AS260))</f>
        <v>0</v>
      </c>
      <c r="AU265" s="5">
        <f t="array" ref="AU265">SUM(IF(AU5:AU260&lt;AT5:AT260,1,0)*IF(AU5:AU260&lt;&gt;0,1,0)*(AU5:AU260-AT5:AT260))</f>
        <v>0</v>
      </c>
      <c r="AV265" s="5">
        <f t="array" ref="AV265">SUM(IF(AV5:AV260&lt;AU5:AU260,1,0)*IF(AV5:AV260&lt;&gt;0,1,0)*(AV5:AV260-AU5:AU260))</f>
        <v>0</v>
      </c>
      <c r="AW265" s="5">
        <f t="array" ref="AW265">SUM(IF(AW5:AW260&lt;AV5:AV260,1,0)*IF(AW5:AW260&lt;&gt;0,1,0)*(AW5:AW260-AV5:AV260))</f>
        <v>0</v>
      </c>
      <c r="AX265" s="5">
        <f t="array" ref="AX265">SUM(IF(AX5:AX260&lt;AW5:AW260,1,0)*IF(AX5:AX260&lt;&gt;0,1,0)*(AX5:AX260-AW5:AW260))</f>
        <v>0</v>
      </c>
      <c r="AY265" s="5">
        <f t="array" ref="AY265">SUM(IF(AY5:AY260&lt;AX5:AX260,1,0)*IF(AY5:AY260&lt;&gt;0,1,0)*(AY5:AY260-AX5:AX260))</f>
        <v>0</v>
      </c>
      <c r="AZ265" s="5">
        <f t="array" ref="AZ265">SUM(IF(AZ5:AZ260&lt;AY5:AY260,1,0)*IF(AZ5:AZ260&lt;&gt;0,1,0)*(AZ5:AZ260-AY5:AY260))</f>
        <v>0</v>
      </c>
      <c r="BA265" s="5">
        <f t="array" ref="BA265">SUM(IF(BA5:BA260&lt;AZ5:AZ260,1,0)*IF(BA5:BA260&lt;&gt;0,1,0)*(BA5:BA260-AZ5:AZ260))</f>
        <v>0</v>
      </c>
      <c r="BB265" s="5">
        <f t="array" ref="BB265">SUM(IF(BB5:BB260&lt;BA5:BA260,1,0)*IF(BB5:BB260&lt;&gt;0,1,0)*(BB5:BB260-BA5:BA260))</f>
        <v>0</v>
      </c>
      <c r="BC265" s="5">
        <f t="array" ref="BC265">SUM(IF(BC5:BC260&lt;BB5:BB260,1,0)*IF(BC5:BC260&lt;&gt;0,1,0)*(BC5:BC260-BB5:BB260))</f>
        <v>0</v>
      </c>
      <c r="BD265" s="5">
        <f t="array" ref="BD265">SUM(IF(BD5:BD260&lt;BC5:BC260,1,0)*IF(BD5:BD260&lt;&gt;0,1,0)*(BD5:BD260-BC5:BC260))</f>
        <v>0</v>
      </c>
      <c r="BE265" s="5">
        <f t="array" ref="BE265">SUM(IF(BE5:BE260&lt;BD5:BD260,1,0)*IF(BE5:BE260&lt;&gt;0,1,0)*(BE5:BE260-BD5:BD260))</f>
        <v>0</v>
      </c>
      <c r="BF265" s="5">
        <f t="array" ref="BF265">SUM(IF(BF5:BF260&lt;BE5:BE260,1,0)*IF(BF5:BF260&lt;&gt;0,1,0)*(BF5:BF260-BE5:BE260))</f>
        <v>0</v>
      </c>
      <c r="BG265" s="5">
        <f t="array" ref="BG265">SUM(IF(BG5:BG260&lt;BF5:BF260,1,0)*IF(BG5:BG260&lt;&gt;0,1,0)*(BG5:BG260-BF5:BF260))</f>
        <v>0</v>
      </c>
      <c r="BH265" s="5">
        <f t="array" ref="BH265">SUM(IF(BH5:BH260&lt;BG5:BG260,1,0)*IF(BH5:BH260&lt;&gt;0,1,0)*(BH5:BH260-BG5:BG260))</f>
        <v>0</v>
      </c>
      <c r="BI265" s="5">
        <f t="array" ref="BI265">SUM(IF(BI5:BI260&lt;BH5:BH260,1,0)*IF(BI5:BI260&lt;&gt;0,1,0)*(BI5:BI260-BH5:BH260))</f>
        <v>0</v>
      </c>
      <c r="BJ265" s="5">
        <f t="array" ref="BJ265">SUM(IF(BJ5:BJ260&lt;BI5:BI260,1,0)*IF(BJ5:BJ260&lt;&gt;0,1,0)*(BJ5:BJ260-BI5:BI260))</f>
        <v>0</v>
      </c>
      <c r="BK265" s="5">
        <f t="array" ref="BK265">SUM(IF(BK5:BK260&lt;BJ5:BJ260,1,0)*IF(BK5:BK260&lt;&gt;0,1,0)*(BK5:BK260-BJ5:BJ260))</f>
        <v>0</v>
      </c>
      <c r="BL265" s="5">
        <f t="array" ref="BL265">SUM(IF(BL5:BL260&lt;BK5:BK260,1,0)*IF(BL5:BL260&lt;&gt;0,1,0)*(BL5:BL260-BK5:BK260))</f>
        <v>0</v>
      </c>
      <c r="BM265" s="5">
        <f t="array" ref="BM265">SUM(IF(BM5:BM260&lt;BL5:BL260,1,0)*IF(BM5:BM260&lt;&gt;0,1,0)*(BM5:BM260-BL5:BL260))</f>
        <v>0</v>
      </c>
      <c r="BN265" s="5">
        <f t="array" ref="BN265">SUM(IF(BN5:BN260&lt;BM5:BM260,1,0)*IF(BN5:BN260&lt;&gt;0,1,0)*(BN5:BN260-BM5:BM260))</f>
        <v>0</v>
      </c>
      <c r="BO265" s="5">
        <f t="array" ref="BO265">SUM(IF(BO5:BO260&lt;BN5:BN260,1,0)*IF(BO5:BO260&lt;&gt;0,1,0)*(BO5:BO260-BN5:BN260))</f>
        <v>0</v>
      </c>
      <c r="BP265" s="5">
        <f t="array" ref="BP265">SUM(IF(BP5:BP260&lt;BO5:BO260,1,0)*IF(BP5:BP260&lt;&gt;0,1,0)*(BP5:BP260-BO5:BO260))</f>
        <v>0</v>
      </c>
      <c r="BQ265" s="5">
        <f t="array" ref="BQ265">SUM(IF(BQ5:BQ260&lt;BP5:BP260,1,0)*IF(BQ5:BQ260&lt;&gt;0,1,0)*(BQ5:BQ260-BP5:BP260))</f>
        <v>0</v>
      </c>
      <c r="BR265" s="5">
        <f t="array" ref="BR265">SUM(IF(BR5:BR260&lt;BQ5:BQ260,1,0)*IF(BR5:BR260&lt;&gt;0,1,0)*(BR5:BR260-BQ5:BQ260))</f>
        <v>0</v>
      </c>
      <c r="BS265" s="5">
        <f t="array" ref="BS265">SUM(IF(BS5:BS260&lt;BR5:BR260,1,0)*IF(BS5:BS260&lt;&gt;0,1,0)*(BS5:BS260-BR5:BR260))</f>
        <v>0</v>
      </c>
      <c r="BT265" s="5">
        <f t="array" ref="BT265">SUM(IF(BT5:BT260&lt;BS5:BS260,1,0)*IF(BT5:BT260&lt;&gt;0,1,0)*(BT5:BT260-BS5:BS260))</f>
        <v>0</v>
      </c>
      <c r="BU265" s="5">
        <f t="array" ref="BU265">SUM(IF(BU5:BU260&lt;BT5:BT260,1,0)*IF(BU5:BU260&lt;&gt;0,1,0)*(BU5:BU260-BT5:BT260))</f>
        <v>0</v>
      </c>
      <c r="BV265" s="5">
        <f t="array" ref="BV265">SUM(IF(BV5:BV260&lt;BU5:BU260,1,0)*IF(BV5:BV260&lt;&gt;0,1,0)*(BV5:BV260-BU5:BU260))</f>
        <v>0</v>
      </c>
      <c r="BW265" s="5">
        <f t="array" ref="BW265">SUM(IF(BW5:BW260&lt;BV5:BV260,1,0)*IF(BW5:BW260&lt;&gt;0,1,0)*(BW5:BW260-BV5:BV260))</f>
        <v>0</v>
      </c>
      <c r="BX265" s="5">
        <f t="array" ref="BX265">SUM(IF(BX5:BX260&lt;BW5:BW260,1,0)*IF(BX5:BX260&lt;&gt;0,1,0)*(BX5:BX260-BW5:BW260))</f>
        <v>0</v>
      </c>
      <c r="BY265" s="5">
        <f t="array" ref="BY265">SUM(IF(BY5:BY260&lt;BX5:BX260,1,0)*IF(BY5:BY260&lt;&gt;0,1,0)*(BY5:BY260-BX5:BX260))</f>
        <v>0</v>
      </c>
      <c r="BZ265" s="5">
        <f t="array" ref="BZ265">SUM(IF(BZ5:BZ260&lt;BY5:BY260,1,0)*IF(BZ5:BZ260&lt;&gt;0,1,0)*(BZ5:BZ260-BY5:BY260))</f>
        <v>0</v>
      </c>
      <c r="CA265" s="5">
        <f t="array" ref="CA265">SUM(IF(CA5:CA260&lt;BZ5:BZ260,1,0)*IF(CA5:CA260&lt;&gt;0,1,0)*(CA5:CA260-BZ5:BZ260))</f>
        <v>0</v>
      </c>
      <c r="CB265" s="5">
        <f t="array" ref="CB265">SUM(IF(CB5:CB260&lt;CA5:CA260,1,0)*IF(CB5:CB260&lt;&gt;0,1,0)*(CB5:CB260-CA5:CA260))</f>
        <v>0</v>
      </c>
      <c r="CC265" s="5">
        <f t="array" ref="CC265">SUM(IF(CC5:CC260&lt;CB5:CB260,1,0)*IF(CC5:CC260&lt;&gt;0,1,0)*(CC5:CC260-CB5:CB260))</f>
        <v>0</v>
      </c>
      <c r="CD265" s="5">
        <f t="array" ref="CD265">SUM(IF(CD5:CD260&lt;CC5:CC260,1,0)*IF(CD5:CD260&lt;&gt;0,1,0)*(CD5:CD260-CC5:CC260))</f>
        <v>0</v>
      </c>
      <c r="CE265" s="5">
        <f t="array" ref="CE265">SUM(IF(CE5:CE260&lt;CD5:CD260,1,0)*IF(CE5:CE260&lt;&gt;0,1,0)*(CE5:CE260-CD5:CD260))</f>
        <v>0</v>
      </c>
      <c r="CF265" s="5">
        <f t="array" ref="CF265">SUM(IF(CF5:CF260&lt;CE5:CE260,1,0)*IF(CF5:CF260&lt;&gt;0,1,0)*(CF5:CF260-CE5:CE260))</f>
        <v>0</v>
      </c>
      <c r="CG265" s="5">
        <f t="array" ref="CG265">SUM(IF(CG5:CG260&lt;CF5:CF260,1,0)*IF(CG5:CG260&lt;&gt;0,1,0)*(CG5:CG260-CF5:CF260))</f>
        <v>0</v>
      </c>
      <c r="CH265" s="5">
        <f t="array" ref="CH265">SUM(IF(CH5:CH260&lt;CG5:CG260,1,0)*IF(CH5:CH260&lt;&gt;0,1,0)*(CH5:CH260-CG5:CG260))</f>
        <v>0</v>
      </c>
      <c r="CI265" s="5">
        <f t="array" ref="CI265">SUM(IF(CI5:CI260&lt;CH5:CH260,1,0)*IF(CI5:CI260&lt;&gt;0,1,0)*(CI5:CI260-CH5:CH260))</f>
        <v>0</v>
      </c>
      <c r="CJ265" s="5">
        <f t="array" ref="CJ265">SUM(IF(CJ5:CJ260&lt;CI5:CI260,1,0)*IF(CJ5:CJ260&lt;&gt;0,1,0)*(CJ5:CJ260-CI5:CI260))</f>
        <v>0</v>
      </c>
      <c r="CK265" s="5">
        <f t="array" ref="CK265">SUM(IF(CK5:CK260&lt;CJ5:CJ260,1,0)*IF(CK5:CK260&lt;&gt;0,1,0)*(CK5:CK260-CJ5:CJ260))</f>
        <v>0</v>
      </c>
      <c r="CL265" s="5">
        <f t="array" ref="CL265">SUM(IF(CL5:CL260&lt;CK5:CK260,1,0)*IF(CL5:CL260&lt;&gt;0,1,0)*(CL5:CL260-CK5:CK260))</f>
        <v>0</v>
      </c>
      <c r="CM265" s="5">
        <f t="array" ref="CM265">SUM(IF(CM5:CM260&lt;CL5:CL260,1,0)*IF(CM5:CM260&lt;&gt;0,1,0)*(CM5:CM260-CL5:CL260))</f>
        <v>0</v>
      </c>
      <c r="CN265" s="5">
        <f t="array" ref="CN265">SUM(IF(CN5:CN260&lt;CM5:CM260,1,0)*IF(CN5:CN260&lt;&gt;0,1,0)*(CN5:CN260-CM5:CM260))</f>
        <v>0</v>
      </c>
      <c r="CO265" s="5">
        <f t="array" ref="CO265">SUM(IF(CO5:CO260&lt;CN5:CN260,1,0)*IF(CO5:CO260&lt;&gt;0,1,0)*(CO5:CO260-CN5:CN260))</f>
        <v>0</v>
      </c>
      <c r="CP265" s="5">
        <f t="array" ref="CP265">SUM(IF(CP5:CP260&lt;CO5:CO260,1,0)*IF(CP5:CP260&lt;&gt;0,1,0)*(CP5:CP260-CO5:CO260))</f>
        <v>0</v>
      </c>
      <c r="CQ265" s="5">
        <f t="array" ref="CQ265">SUM(IF(CQ5:CQ260&lt;CP5:CP260,1,0)*IF(CQ5:CQ260&lt;&gt;0,1,0)*(CQ5:CQ260-CP5:CP260))</f>
        <v>0</v>
      </c>
      <c r="CR265" s="5">
        <f t="array" ref="CR265">SUM(IF(CR5:CR260&lt;CQ5:CQ260,1,0)*IF(CR5:CR260&lt;&gt;0,1,0)*(CR5:CR260-CQ5:CQ260))</f>
        <v>0</v>
      </c>
      <c r="CS265" s="5">
        <f t="array" ref="CS265">SUM(IF(CS5:CS260&lt;CR5:CR260,1,0)*IF(CS5:CS260&lt;&gt;0,1,0)*(CS5:CS260-CR5:CR260))</f>
        <v>0</v>
      </c>
      <c r="CT265" s="5">
        <f t="array" ref="CT265">SUM(IF(CT5:CT260&lt;CS5:CS260,1,0)*IF(CT5:CT260&lt;&gt;0,1,0)*(CT5:CT260-CS5:CS260))</f>
        <v>0</v>
      </c>
      <c r="CU265" s="5">
        <f t="array" ref="CU265">SUM(IF(CU5:CU260&lt;CT5:CT260,1,0)*IF(CU5:CU260&lt;&gt;0,1,0)*(CU5:CU260-CT5:CT260))</f>
        <v>0</v>
      </c>
      <c r="CV265" s="5">
        <f t="array" ref="CV265">SUM(IF(CV5:CV260&lt;CU5:CU260,1,0)*IF(CV5:CV260&lt;&gt;0,1,0)*(CV5:CV260-CU5:CU260))</f>
        <v>0</v>
      </c>
      <c r="CW265" s="5">
        <f t="array" ref="CW265">SUM(IF(CW5:CW260&lt;CV5:CV260,1,0)*IF(CW5:CW260&lt;&gt;0,1,0)*(CW5:CW260-CV5:CV260))</f>
        <v>0</v>
      </c>
      <c r="CX265" s="5">
        <f t="array" ref="CX265">SUM(IF(CX5:CX260&lt;CW5:CW260,1,0)*IF(CX5:CX260&lt;&gt;0,1,0)*(CX5:CX260-CW5:CW260))</f>
        <v>0</v>
      </c>
      <c r="CY265" s="5">
        <f t="array" ref="CY265">SUM(IF(CY5:CY260&lt;CX5:CX260,1,0)*IF(CY5:CY260&lt;&gt;0,1,0)*(CY5:CY260-CX5:CX260))</f>
        <v>0</v>
      </c>
      <c r="CZ265" s="5">
        <f t="array" ref="CZ265">SUM(IF(CZ5:CZ260&lt;CY5:CY260,1,0)*IF(CZ5:CZ260&lt;&gt;0,1,0)*(CZ5:CZ260-CY5:CY260))</f>
        <v>0</v>
      </c>
      <c r="DA265" s="5">
        <f t="array" ref="DA265">SUM(IF(DA5:DA260&lt;CZ5:CZ260,1,0)*IF(DA5:DA260&lt;&gt;0,1,0)*(DA5:DA260-CZ5:CZ260))</f>
        <v>0</v>
      </c>
      <c r="DB265" s="5">
        <f t="array" ref="DB265">SUM(IF(DB5:DB260&lt;DA5:DA260,1,0)*IF(DB5:DB260&lt;&gt;0,1,0)*(DB5:DB260-DA5:DA260))</f>
        <v>0</v>
      </c>
      <c r="DC265" s="5">
        <f t="array" ref="DC265">SUM(IF(DC5:DC260&lt;DB5:DB260,1,0)*IF(DC5:DC260&lt;&gt;0,1,0)*(DC5:DC260-DB5:DB260))</f>
        <v>0</v>
      </c>
      <c r="DD265" s="5">
        <f t="array" ref="DD265">SUM(IF(DD5:DD260&lt;DC5:DC260,1,0)*IF(DD5:DD260&lt;&gt;0,1,0)*(DD5:DD260-DC5:DC260))</f>
        <v>0</v>
      </c>
      <c r="DE265" s="5">
        <f t="array" ref="DE265">SUM(IF(DE5:DE260&lt;DD5:DD260,1,0)*IF(DE5:DE260&lt;&gt;0,1,0)*(DE5:DE260-DD5:DD260))</f>
        <v>0</v>
      </c>
      <c r="DF265" s="5">
        <f t="array" ref="DF265">SUM(IF(DF5:DF260&lt;DE5:DE260,1,0)*IF(DF5:DF260&lt;&gt;0,1,0)*(DF5:DF260-DE5:DE260))</f>
        <v>0</v>
      </c>
      <c r="DG265" s="5">
        <f t="array" ref="DG265">SUM(IF(DG5:DG260&lt;DF5:DF260,1,0)*IF(DG5:DG260&lt;&gt;0,1,0)*(DG5:DG260-DF5:DF260))</f>
        <v>0</v>
      </c>
      <c r="DH265" s="5">
        <f t="array" ref="DH265">SUM(IF(DH5:DH260&lt;DG5:DG260,1,0)*IF(DH5:DH260&lt;&gt;0,1,0)*(DH5:DH260-DG5:DG260))</f>
        <v>0</v>
      </c>
      <c r="DI265" s="5">
        <f t="array" ref="DI265">SUM(IF(DI5:DI260&lt;DH5:DH260,1,0)*IF(DI5:DI260&lt;&gt;0,1,0)*(DI5:DI260-DH5:DH260))</f>
        <v>0</v>
      </c>
      <c r="DJ265" s="5">
        <f t="array" ref="DJ265">SUM(IF(DJ5:DJ260&lt;DI5:DI260,1,0)*IF(DJ5:DJ260&lt;&gt;0,1,0)*(DJ5:DJ260-DI5:DI260))</f>
        <v>0</v>
      </c>
      <c r="DK265" s="5">
        <f t="array" ref="DK265">SUM(IF(DK5:DK260&lt;DJ5:DJ260,1,0)*IF(DK5:DK260&lt;&gt;0,1,0)*(DK5:DK260-DJ5:DJ260))</f>
        <v>0</v>
      </c>
      <c r="DL265" s="5">
        <f t="array" ref="DL265">SUM(IF(DL5:DL260&lt;DK5:DK260,1,0)*IF(DL5:DL260&lt;&gt;0,1,0)*(DL5:DL260-DK5:DK260))</f>
        <v>0</v>
      </c>
      <c r="DM265" s="5">
        <f t="array" ref="DM265">SUM(IF(DM5:DM260&lt;DL5:DL260,1,0)*IF(DM5:DM260&lt;&gt;0,1,0)*(DM5:DM260-DL5:DL260))</f>
        <v>-3260.3333333333335</v>
      </c>
      <c r="DN265" s="5">
        <f t="array" ref="DN265">SUM(IF(DN5:DN260&lt;DM5:DM260,1,0)*IF(DN5:DN260&lt;&gt;0,1,0)*(DN5:DN260-DM5:DM260))</f>
        <v>0</v>
      </c>
      <c r="DO265" s="5">
        <f t="array" ref="DO265">SUM(IF(DO5:DO260&lt;DN5:DN260,1,0)*IF(DO5:DO260&lt;&gt;0,1,0)*(DO5:DO260-DN5:DN260))</f>
        <v>0</v>
      </c>
      <c r="DP265" s="5">
        <f t="array" ref="DP265">SUM(IF(DP5:DP260&lt;DO5:DO260,1,0)*IF(DP5:DP260&lt;&gt;0,1,0)*(DP5:DP260-DO5:DO260))</f>
        <v>0</v>
      </c>
      <c r="DQ265" s="5">
        <f t="array" ref="DQ265">SUM(IF(DQ5:DQ260&lt;DP5:DP260,1,0)*IF(DQ5:DQ260&lt;&gt;0,1,0)*(DQ5:DQ260-DP5:DP260))</f>
        <v>0</v>
      </c>
      <c r="DR265" s="5">
        <f t="array" ref="DR265">SUM(IF(DR5:DR260&lt;DQ5:DQ260,1,0)*IF(DR5:DR260&lt;&gt;0,1,0)*(DR5:DR260-DQ5:DQ260))</f>
        <v>0</v>
      </c>
      <c r="DS265" s="5">
        <f t="array" ref="DS265">SUM(IF(DS5:DS260&lt;DR5:DR260,1,0)*IF(DS5:DS260&lt;&gt;0,1,0)*(DS5:DS260-DR5:DR260))</f>
        <v>0</v>
      </c>
      <c r="DT265" s="5">
        <f t="array" ref="DT265">SUM(IF(DT5:DT260&lt;DS5:DS260,1,0)*IF(DT5:DT260&lt;&gt;0,1,0)*(DT5:DT260-DS5:DS260))</f>
        <v>-4867.5</v>
      </c>
      <c r="DU265" s="5">
        <f t="array" ref="DU265">SUM(IF(DU5:DU260&lt;DT5:DT260,1,0)*IF(DU5:DU260&lt;&gt;0,1,0)*(DU5:DU260-DT5:DT260))</f>
        <v>0</v>
      </c>
      <c r="DV265" s="5">
        <f t="array" ref="DV265">SUM(IF(DV5:DV260&lt;DU5:DU260,1,0)*IF(DV5:DV260&lt;&gt;0,1,0)*(DV5:DV260-DU5:DU260))</f>
        <v>0</v>
      </c>
      <c r="DW265" s="5">
        <f t="array" ref="DW265">SUM(IF(DW5:DW260&lt;DV5:DV260,1,0)*IF(DW5:DW260&lt;&gt;0,1,0)*(DW5:DW260-DV5:DV260))</f>
        <v>-22218.166666666657</v>
      </c>
      <c r="DX265" s="5">
        <f t="array" ref="DX265">SUM(IF(DX5:DX260&lt;DW5:DW260,1,0)*IF(DX5:DX260&lt;&gt;0,1,0)*(DX5:DX260-DW5:DW260))</f>
        <v>0</v>
      </c>
      <c r="DY265" s="5">
        <f t="array" ref="DY265">SUM(IF(DY5:DY260&lt;DX5:DX260,1,0)*IF(DY5:DY260&lt;&gt;0,1,0)*(DY5:DY260-DX5:DX260))</f>
        <v>-212.5</v>
      </c>
      <c r="DZ265" s="5">
        <f t="array" ref="DZ265">SUM(IF(DZ5:DZ260&lt;DY5:DY260,1,0)*IF(DZ5:DZ260&lt;&gt;0,1,0)*(DZ5:DZ260-DY5:DY260))</f>
        <v>0</v>
      </c>
      <c r="EA265" s="5">
        <f t="array" ref="EA265">SUM(IF(EA5:EA260&lt;DZ5:DZ260,1,0)*IF(EA5:EA260&lt;&gt;0,1,0)*(EA5:EA260-DZ5:DZ260))</f>
        <v>0</v>
      </c>
      <c r="EB265" s="5">
        <f t="array" ref="EB265">SUM(IF(EB5:EB260&lt;EA5:EA260,1,0)*IF(EB5:EB260&lt;&gt;0,1,0)*(EB5:EB260-EA5:EA260))</f>
        <v>-1.9166666666678793</v>
      </c>
      <c r="EC265" s="5">
        <f t="array" ref="EC265">SUM(IF(EC5:EC260&lt;EB5:EB260,1,0)*IF(EC5:EC260&lt;&gt;0,1,0)*(EC5:EC260-EB5:EB260))</f>
        <v>-385.5</v>
      </c>
      <c r="ED265" s="5">
        <f t="array" ref="ED265">SUM(IF(ED5:ED260&lt;EC5:EC260,1,0)*IF(ED5:ED260&lt;&gt;0,1,0)*(ED5:ED260-EC5:EC260))</f>
        <v>-289.33333333333212</v>
      </c>
      <c r="EE265" s="5">
        <f t="array" ref="EE265">SUM(IF(EE5:EE260&lt;ED5:ED260,1,0)*IF(EE5:EE260&lt;&gt;0,1,0)*(EE5:EE260-ED5:ED260))</f>
        <v>-9.1666666666678793</v>
      </c>
      <c r="EF265" s="5">
        <f t="array" ref="EF265">SUM(IF(EF5:EF260&lt;EE5:EE260,1,0)*IF(EF5:EF260&lt;&gt;0,1,0)*(EF5:EF260-EE5:EE260))</f>
        <v>0</v>
      </c>
      <c r="EG265" s="5">
        <f t="array" ref="EG265">SUM(IF(EG5:EG260&lt;EF5:EF260,1,0)*IF(EG5:EG260&lt;&gt;0,1,0)*(EG5:EG260-EF5:EF260))</f>
        <v>-200.25</v>
      </c>
      <c r="EH265" s="5">
        <f t="array" ref="EH265">SUM(IF(EH5:EH260&lt;EG5:EG260,1,0)*IF(EH5:EH260&lt;&gt;0,1,0)*(EH5:EH260-EG5:EG260))</f>
        <v>0</v>
      </c>
    </row>
    <row r="266" spans="3:140" customFormat="1" x14ac:dyDescent="0.25">
      <c r="D266" s="5" t="s">
        <v>6</v>
      </c>
      <c r="E266" s="5"/>
      <c r="F266" s="5"/>
      <c r="G266" s="10">
        <f t="array" ref="G266">SUM(IF(G5:G260=0,1,0)*IF(F5:F260&gt;0,1,0)*F5:F260)*-1</f>
        <v>0</v>
      </c>
      <c r="H266" s="10">
        <f t="array" ref="H266">SUM(IF(H5:H260=0,1,0)*IF(G5:G260&gt;0,1,0)*G5:G260)*-1</f>
        <v>0</v>
      </c>
      <c r="I266" s="10">
        <f t="array" ref="I266">SUM(IF(I5:I260=0,1,0)*IF(H5:H260&gt;0,1,0)*H5:H260)*-1</f>
        <v>0</v>
      </c>
      <c r="J266" s="10">
        <f t="array" ref="J266">SUM(IF(J5:J260=0,1,0)*IF(I5:I260&gt;0,1,0)*I5:I260)*-1</f>
        <v>0</v>
      </c>
      <c r="K266" s="10">
        <f t="array" ref="K266">SUM(IF(K5:K260=0,1,0)*IF(J5:J260&gt;0,1,0)*J5:J260)*-1</f>
        <v>0</v>
      </c>
      <c r="L266" s="10">
        <f t="array" ref="L266">SUM(IF(L5:L260=0,1,0)*IF(K5:K260&gt;0,1,0)*K5:K260)*-1</f>
        <v>0</v>
      </c>
      <c r="M266" s="10">
        <f t="array" ref="M266">SUM(IF(M5:M260=0,1,0)*IF(L5:L260&gt;0,1,0)*L5:L260)*-1</f>
        <v>0</v>
      </c>
      <c r="N266" s="10">
        <f t="array" ref="N266">SUM(IF(N5:N260=0,1,0)*IF(M5:M260&gt;0,1,0)*M5:M260)*-1</f>
        <v>0</v>
      </c>
      <c r="O266" s="10">
        <f t="array" ref="O266">SUM(IF(O5:O260=0,1,0)*IF(N5:N260&gt;0,1,0)*N5:N260)*-1</f>
        <v>0</v>
      </c>
      <c r="P266" s="10">
        <f t="array" ref="P266">SUM(IF(P5:P260=0,1,0)*IF(O5:O260&gt;0,1,0)*O5:O260)*-1</f>
        <v>0</v>
      </c>
      <c r="Q266" s="10">
        <f t="array" ref="Q266">SUM(IF(Q5:Q260=0,1,0)*IF(P5:P260&gt;0,1,0)*P5:P260)*-1</f>
        <v>0</v>
      </c>
      <c r="R266" s="10">
        <f t="array" ref="R266">SUM(IF(R5:R260=0,1,0)*IF(Q5:Q260&gt;0,1,0)*Q5:Q260)*-1</f>
        <v>0</v>
      </c>
      <c r="S266" s="10">
        <f t="array" ref="S266">SUM(IF(S5:S260=0,1,0)*IF(R5:R260&gt;0,1,0)*R5:R260)*-1</f>
        <v>0</v>
      </c>
      <c r="T266" s="10">
        <f t="array" ref="T266">SUM(IF(T5:T260=0,1,0)*IF(S5:S260&gt;0,1,0)*S5:S260)*-1</f>
        <v>0</v>
      </c>
      <c r="U266" s="10">
        <f t="array" ref="U266">SUM(IF(U5:U260=0,1,0)*IF(T5:T260&gt;0,1,0)*T5:T260)*-1</f>
        <v>0</v>
      </c>
      <c r="V266" s="10">
        <f t="array" ref="V266">SUM(IF(V5:V260=0,1,0)*IF(U5:U260&gt;0,1,0)*U5:U260)*-1</f>
        <v>0</v>
      </c>
      <c r="W266" s="10">
        <f t="array" ref="W266">SUM(IF(W5:W260=0,1,0)*IF(V5:V260&gt;0,1,0)*V5:V260)*-1</f>
        <v>0</v>
      </c>
      <c r="X266" s="10">
        <f t="array" ref="X266">SUM(IF(X5:X260=0,1,0)*IF(W5:W260&gt;0,1,0)*W5:W260)*-1</f>
        <v>0</v>
      </c>
      <c r="Y266" s="10">
        <f t="array" ref="Y266">SUM(IF(Y5:Y260=0,1,0)*IF(X5:X260&gt;0,1,0)*X5:X260)*-1</f>
        <v>0</v>
      </c>
      <c r="Z266" s="10">
        <f t="array" ref="Z266">SUM(IF(Z5:Z260=0,1,0)*IF(Y5:Y260&gt;0,1,0)*Y5:Y260)*-1</f>
        <v>0</v>
      </c>
      <c r="AA266" s="10">
        <f t="array" ref="AA266">SUM(IF(AA5:AA260=0,1,0)*IF(Z5:Z260&gt;0,1,0)*Z5:Z260)*-1</f>
        <v>0</v>
      </c>
      <c r="AB266" s="10">
        <f t="array" ref="AB266">SUM(IF(AB5:AB260=0,1,0)*IF(AA5:AA260&gt;0,1,0)*AA5:AA260)*-1</f>
        <v>0</v>
      </c>
      <c r="AC266" s="10">
        <f t="array" ref="AC266">SUM(IF(AC5:AC260=0,1,0)*IF(AB5:AB260&gt;0,1,0)*AB5:AB260)*-1</f>
        <v>0</v>
      </c>
      <c r="AD266" s="10">
        <f t="array" ref="AD266">SUM(IF(AD5:AD260=0,1,0)*IF(AC5:AC260&gt;0,1,0)*AC5:AC260)*-1</f>
        <v>0</v>
      </c>
      <c r="AE266" s="10">
        <f t="array" ref="AE266">SUM(IF(AE5:AE260=0,1,0)*IF(AD5:AD260&gt;0,1,0)*AD5:AD260)*-1</f>
        <v>0</v>
      </c>
      <c r="AF266" s="10">
        <f t="array" ref="AF266">SUM(IF(AF5:AF260=0,1,0)*IF(AE5:AE260&gt;0,1,0)*AE5:AE260)*-1</f>
        <v>0</v>
      </c>
      <c r="AG266" s="10">
        <f t="array" ref="AG266">SUM(IF(AG5:AG260=0,1,0)*IF(AF5:AF260&gt;0,1,0)*AF5:AF260)*-1</f>
        <v>0</v>
      </c>
      <c r="AH266" s="10">
        <f t="array" ref="AH266">SUM(IF(AH5:AH260=0,1,0)*IF(AG5:AG260&gt;0,1,0)*AG5:AG260)*-1</f>
        <v>0</v>
      </c>
      <c r="AI266" s="10">
        <f t="array" ref="AI266">SUM(IF(AI5:AI260=0,1,0)*IF(AH5:AH260&gt;0,1,0)*AH5:AH260)*-1</f>
        <v>0</v>
      </c>
      <c r="AJ266" s="10">
        <f t="array" ref="AJ266">SUM(IF(AJ5:AJ260=0,1,0)*IF(AI5:AI260&gt;0,1,0)*AI5:AI260)*-1</f>
        <v>0</v>
      </c>
      <c r="AK266" s="10">
        <f t="array" ref="AK266">SUM(IF(AK5:AK260=0,1,0)*IF(AJ5:AJ260&gt;0,1,0)*AJ5:AJ260)*-1</f>
        <v>0</v>
      </c>
      <c r="AL266" s="10">
        <f t="array" ref="AL266">SUM(IF(AL5:AL260=0,1,0)*IF(AK5:AK260&gt;0,1,0)*AK5:AK260)*-1</f>
        <v>0</v>
      </c>
      <c r="AM266" s="10">
        <f t="array" ref="AM266">SUM(IF(AM5:AM260=0,1,0)*IF(AL5:AL260&gt;0,1,0)*AL5:AL260)*-1</f>
        <v>0</v>
      </c>
      <c r="AN266" s="10">
        <f t="array" ref="AN266">SUM(IF(AN5:AN260=0,1,0)*IF(AM5:AM260&gt;0,1,0)*AM5:AM260)*-1</f>
        <v>0</v>
      </c>
      <c r="AO266" s="10">
        <f t="array" ref="AO266">SUM(IF(AO5:AO260=0,1,0)*IF(AN5:AN260&gt;0,1,0)*AN5:AN260)*-1</f>
        <v>0</v>
      </c>
      <c r="AP266" s="10">
        <f t="array" ref="AP266">SUM(IF(AP5:AP260=0,1,0)*IF(AO5:AO260&gt;0,1,0)*AO5:AO260)*-1</f>
        <v>0</v>
      </c>
      <c r="AQ266" s="10">
        <f t="array" ref="AQ266">SUM(IF(AQ5:AQ260=0,1,0)*IF(AP5:AP260&gt;0,1,0)*AP5:AP260)*-1</f>
        <v>0</v>
      </c>
      <c r="AR266" s="10">
        <f t="array" ref="AR266">SUM(IF(AR5:AR260=0,1,0)*IF(AQ5:AQ260&gt;0,1,0)*AQ5:AQ260)*-1</f>
        <v>0</v>
      </c>
      <c r="AS266" s="10">
        <f t="array" ref="AS266">SUM(IF(AS5:AS260=0,1,0)*IF(AR5:AR260&gt;0,1,0)*AR5:AR260)*-1</f>
        <v>0</v>
      </c>
      <c r="AT266" s="10">
        <f t="array" ref="AT266">SUM(IF(AT5:AT260=0,1,0)*IF(AS5:AS260&gt;0,1,0)*AS5:AS260)*-1</f>
        <v>0</v>
      </c>
      <c r="AU266" s="10">
        <f t="array" ref="AU266">SUM(IF(AU5:AU260=0,1,0)*IF(AT5:AT260&gt;0,1,0)*AT5:AT260)*-1</f>
        <v>0</v>
      </c>
      <c r="AV266" s="10">
        <f t="array" ref="AV266">SUM(IF(AV5:AV260=0,1,0)*IF(AU5:AU260&gt;0,1,0)*AU5:AU260)*-1</f>
        <v>0</v>
      </c>
      <c r="AW266" s="10">
        <f t="array" ref="AW266">SUM(IF(AW5:AW260=0,1,0)*IF(AV5:AV260&gt;0,1,0)*AV5:AV260)*-1</f>
        <v>0</v>
      </c>
      <c r="AX266" s="10">
        <f t="array" ref="AX266">SUM(IF(AX5:AX260=0,1,0)*IF(AW5:AW260&gt;0,1,0)*AW5:AW260)*-1</f>
        <v>0</v>
      </c>
      <c r="AY266" s="10">
        <f t="array" ref="AY266">SUM(IF(AY5:AY260=0,1,0)*IF(AX5:AX260&gt;0,1,0)*AX5:AX260)*-1</f>
        <v>0</v>
      </c>
      <c r="AZ266" s="10">
        <f t="array" ref="AZ266">SUM(IF(AZ5:AZ260=0,1,0)*IF(AY5:AY260&gt;0,1,0)*AY5:AY260)*-1</f>
        <v>0</v>
      </c>
      <c r="BA266" s="10">
        <f t="array" ref="BA266">SUM(IF(BA5:BA260=0,1,0)*IF(AZ5:AZ260&gt;0,1,0)*AZ5:AZ260)*-1</f>
        <v>0</v>
      </c>
      <c r="BB266" s="10">
        <f t="array" ref="BB266">SUM(IF(BB5:BB260=0,1,0)*IF(BA5:BA260&gt;0,1,0)*BA5:BA260)*-1</f>
        <v>0</v>
      </c>
      <c r="BC266" s="10">
        <f t="array" ref="BC266">SUM(IF(BC5:BC260=0,1,0)*IF(BB5:BB260&gt;0,1,0)*BB5:BB260)*-1</f>
        <v>0</v>
      </c>
      <c r="BD266" s="10">
        <f t="array" ref="BD266">SUM(IF(BD5:BD260=0,1,0)*IF(BC5:BC260&gt;0,1,0)*BC5:BC260)*-1</f>
        <v>0</v>
      </c>
      <c r="BE266" s="10">
        <f t="array" ref="BE266">SUM(IF(BE5:BE260=0,1,0)*IF(BD5:BD260&gt;0,1,0)*BD5:BD260)*-1</f>
        <v>0</v>
      </c>
      <c r="BF266" s="10">
        <f t="array" ref="BF266">SUM(IF(BF5:BF260=0,1,0)*IF(BE5:BE260&gt;0,1,0)*BE5:BE260)*-1</f>
        <v>0</v>
      </c>
      <c r="BG266" s="10">
        <f t="array" ref="BG266">SUM(IF(BG5:BG260=0,1,0)*IF(BF5:BF260&gt;0,1,0)*BF5:BF260)*-1</f>
        <v>0</v>
      </c>
      <c r="BH266" s="10">
        <f t="array" ref="BH266">SUM(IF(BH5:BH260=0,1,0)*IF(BG5:BG260&gt;0,1,0)*BG5:BG260)*-1</f>
        <v>0</v>
      </c>
      <c r="BI266" s="10">
        <f t="array" ref="BI266">SUM(IF(BI5:BI260=0,1,0)*IF(BH5:BH260&gt;0,1,0)*BH5:BH260)*-1</f>
        <v>0</v>
      </c>
      <c r="BJ266" s="10">
        <f t="array" ref="BJ266">SUM(IF(BJ5:BJ260=0,1,0)*IF(BI5:BI260&gt;0,1,0)*BI5:BI260)*-1</f>
        <v>0</v>
      </c>
      <c r="BK266" s="10">
        <f t="array" ref="BK266">SUM(IF(BK5:BK260=0,1,0)*IF(BJ5:BJ260&gt;0,1,0)*BJ5:BJ260)*-1</f>
        <v>0</v>
      </c>
      <c r="BL266" s="10">
        <f t="array" ref="BL266">SUM(IF(BL5:BL260=0,1,0)*IF(BK5:BK260&gt;0,1,0)*BK5:BK260)*-1</f>
        <v>0</v>
      </c>
      <c r="BM266" s="10">
        <f t="array" ref="BM266">SUM(IF(BM5:BM260=0,1,0)*IF(BL5:BL260&gt;0,1,0)*BL5:BL260)*-1</f>
        <v>0</v>
      </c>
      <c r="BN266" s="10">
        <f t="array" ref="BN266">SUM(IF(BN5:BN260=0,1,0)*IF(BM5:BM260&gt;0,1,0)*BM5:BM260)*-1</f>
        <v>0</v>
      </c>
      <c r="BO266" s="10">
        <f t="array" ref="BO266">SUM(IF(BO5:BO260=0,1,0)*IF(BN5:BN260&gt;0,1,0)*BN5:BN260)*-1</f>
        <v>0</v>
      </c>
      <c r="BP266" s="10">
        <f t="array" ref="BP266">SUM(IF(BP5:BP260=0,1,0)*IF(BO5:BO260&gt;0,1,0)*BO5:BO260)*-1</f>
        <v>0</v>
      </c>
      <c r="BQ266" s="10">
        <f t="array" ref="BQ266">SUM(IF(BQ5:BQ260=0,1,0)*IF(BP5:BP260&gt;0,1,0)*BP5:BP260)*-1</f>
        <v>0</v>
      </c>
      <c r="BR266" s="10">
        <f t="array" ref="BR266">SUM(IF(BR5:BR260=0,1,0)*IF(BQ5:BQ260&gt;0,1,0)*BQ5:BQ260)*-1</f>
        <v>0</v>
      </c>
      <c r="BS266" s="10">
        <f t="array" ref="BS266">SUM(IF(BS5:BS260=0,1,0)*IF(BR5:BR260&gt;0,1,0)*BR5:BR260)*-1</f>
        <v>0</v>
      </c>
      <c r="BT266" s="10">
        <f t="array" ref="BT266">SUM(IF(BT5:BT260=0,1,0)*IF(BS5:BS260&gt;0,1,0)*BS5:BS260)*-1</f>
        <v>0</v>
      </c>
      <c r="BU266" s="10">
        <f t="array" ref="BU266">SUM(IF(BU5:BU260=0,1,0)*IF(BT5:BT260&gt;0,1,0)*BT5:BT260)*-1</f>
        <v>0</v>
      </c>
      <c r="BV266" s="10">
        <f t="array" ref="BV266">SUM(IF(BV5:BV260=0,1,0)*IF(BU5:BU260&gt;0,1,0)*BU5:BU260)*-1</f>
        <v>0</v>
      </c>
      <c r="BW266" s="10">
        <f t="array" ref="BW266">SUM(IF(BW5:BW260=0,1,0)*IF(BV5:BV260&gt;0,1,0)*BV5:BV260)*-1</f>
        <v>0</v>
      </c>
      <c r="BX266" s="10">
        <f t="array" ref="BX266">SUM(IF(BX5:BX260=0,1,0)*IF(BW5:BW260&gt;0,1,0)*BW5:BW260)*-1</f>
        <v>0</v>
      </c>
      <c r="BY266" s="10">
        <f t="array" ref="BY266">SUM(IF(BY5:BY260=0,1,0)*IF(BX5:BX260&gt;0,1,0)*BX5:BX260)*-1</f>
        <v>0</v>
      </c>
      <c r="BZ266" s="10">
        <f t="array" ref="BZ266">SUM(IF(BZ5:BZ260=0,1,0)*IF(BY5:BY260&gt;0,1,0)*BY5:BY260)*-1</f>
        <v>0</v>
      </c>
      <c r="CA266" s="10">
        <f t="array" ref="CA266">SUM(IF(CA5:CA260=0,1,0)*IF(BZ5:BZ260&gt;0,1,0)*BZ5:BZ260)*-1</f>
        <v>0</v>
      </c>
      <c r="CB266" s="10">
        <f t="array" ref="CB266">SUM(IF(CB5:CB260=0,1,0)*IF(CA5:CA260&gt;0,1,0)*CA5:CA260)*-1</f>
        <v>0</v>
      </c>
      <c r="CC266" s="10">
        <f t="array" ref="CC266">SUM(IF(CC5:CC260=0,1,0)*IF(CB5:CB260&gt;0,1,0)*CB5:CB260)*-1</f>
        <v>0</v>
      </c>
      <c r="CD266" s="10">
        <f t="array" ref="CD266">SUM(IF(CD5:CD260=0,1,0)*IF(CC5:CC260&gt;0,1,0)*CC5:CC260)*-1</f>
        <v>0</v>
      </c>
      <c r="CE266" s="10">
        <f t="array" ref="CE266">SUM(IF(CE5:CE260=0,1,0)*IF(CD5:CD260&gt;0,1,0)*CD5:CD260)*-1</f>
        <v>0</v>
      </c>
      <c r="CF266" s="10">
        <f t="array" ref="CF266">SUM(IF(CF5:CF260=0,1,0)*IF(CE5:CE260&gt;0,1,0)*CE5:CE260)*-1</f>
        <v>0</v>
      </c>
      <c r="CG266" s="10">
        <f t="array" ref="CG266">SUM(IF(CG5:CG260=0,1,0)*IF(CF5:CF260&gt;0,1,0)*CF5:CF260)*-1</f>
        <v>0</v>
      </c>
      <c r="CH266" s="10">
        <f t="array" ref="CH266">SUM(IF(CH5:CH260=0,1,0)*IF(CG5:CG260&gt;0,1,0)*CG5:CG260)*-1</f>
        <v>0</v>
      </c>
      <c r="CI266" s="10">
        <f t="array" ref="CI266">SUM(IF(CI5:CI260=0,1,0)*IF(CH5:CH260&gt;0,1,0)*CH5:CH260)*-1</f>
        <v>0</v>
      </c>
      <c r="CJ266" s="10">
        <f t="array" ref="CJ266">SUM(IF(CJ5:CJ260=0,1,0)*IF(CI5:CI260&gt;0,1,0)*CI5:CI260)*-1</f>
        <v>0</v>
      </c>
      <c r="CK266" s="10">
        <f t="array" ref="CK266">SUM(IF(CK5:CK260=0,1,0)*IF(CJ5:CJ260&gt;0,1,0)*CJ5:CJ260)*-1</f>
        <v>0</v>
      </c>
      <c r="CL266" s="10">
        <f t="array" ref="CL266">SUM(IF(CL5:CL260=0,1,0)*IF(CK5:CK260&gt;0,1,0)*CK5:CK260)*-1</f>
        <v>0</v>
      </c>
      <c r="CM266" s="10">
        <f t="array" ref="CM266">SUM(IF(CM5:CM260=0,1,0)*IF(CL5:CL260&gt;0,1,0)*CL5:CL260)*-1</f>
        <v>0</v>
      </c>
      <c r="CN266" s="10">
        <f t="array" ref="CN266">SUM(IF(CN5:CN260=0,1,0)*IF(CM5:CM260&gt;0,1,0)*CM5:CM260)*-1</f>
        <v>0</v>
      </c>
      <c r="CO266" s="10">
        <f t="array" ref="CO266">SUM(IF(CO5:CO260=0,1,0)*IF(CN5:CN260&gt;0,1,0)*CN5:CN260)*-1</f>
        <v>0</v>
      </c>
      <c r="CP266" s="10">
        <f t="array" ref="CP266">SUM(IF(CP5:CP260=0,1,0)*IF(CO5:CO260&gt;0,1,0)*CO5:CO260)*-1</f>
        <v>0</v>
      </c>
      <c r="CQ266" s="10">
        <f t="array" ref="CQ266">SUM(IF(CQ5:CQ260=0,1,0)*IF(CP5:CP260&gt;0,1,0)*CP5:CP260)*-1</f>
        <v>0</v>
      </c>
      <c r="CR266" s="10">
        <f t="array" ref="CR266">SUM(IF(CR5:CR260=0,1,0)*IF(CQ5:CQ260&gt;0,1,0)*CQ5:CQ260)*-1</f>
        <v>0</v>
      </c>
      <c r="CS266" s="10">
        <f t="array" ref="CS266">SUM(IF(CS5:CS260=0,1,0)*IF(CR5:CR260&gt;0,1,0)*CR5:CR260)*-1</f>
        <v>0</v>
      </c>
      <c r="CT266" s="10">
        <f t="array" ref="CT266">SUM(IF(CT5:CT260=0,1,0)*IF(CS5:CS260&gt;0,1,0)*CS5:CS260)*-1</f>
        <v>0</v>
      </c>
      <c r="CU266" s="10">
        <f t="array" ref="CU266">SUM(IF(CU5:CU260=0,1,0)*IF(CT5:CT260&gt;0,1,0)*CT5:CT260)*-1</f>
        <v>0</v>
      </c>
      <c r="CV266" s="10">
        <f t="array" ref="CV266">SUM(IF(CV5:CV260=0,1,0)*IF(CU5:CU260&gt;0,1,0)*CU5:CU260)*-1</f>
        <v>0</v>
      </c>
      <c r="CW266" s="10">
        <f t="array" ref="CW266">SUM(IF(CW5:CW260=0,1,0)*IF(CV5:CV260&gt;0,1,0)*CV5:CV260)*-1</f>
        <v>0</v>
      </c>
      <c r="CX266" s="10">
        <f t="array" ref="CX266">SUM(IF(CX5:CX260=0,1,0)*IF(CW5:CW260&gt;0,1,0)*CW5:CW260)*-1</f>
        <v>0</v>
      </c>
      <c r="CY266" s="10">
        <f t="array" ref="CY266">SUM(IF(CY5:CY260=0,1,0)*IF(CX5:CX260&gt;0,1,0)*CX5:CX260)*-1</f>
        <v>0</v>
      </c>
      <c r="CZ266" s="10">
        <f t="array" ref="CZ266">SUM(IF(CZ5:CZ260=0,1,0)*IF(CY5:CY260&gt;0,1,0)*CY5:CY260)*-1</f>
        <v>0</v>
      </c>
      <c r="DA266" s="10">
        <f t="array" ref="DA266">SUM(IF(DA5:DA260=0,1,0)*IF(CZ5:CZ260&gt;0,1,0)*CZ5:CZ260)*-1</f>
        <v>0</v>
      </c>
      <c r="DB266" s="10">
        <f t="array" ref="DB266">SUM(IF(DB5:DB260=0,1,0)*IF(DA5:DA260&gt;0,1,0)*DA5:DA260)*-1</f>
        <v>0</v>
      </c>
      <c r="DC266" s="10">
        <f t="array" ref="DC266">SUM(IF(DC5:DC260=0,1,0)*IF(DB5:DB260&gt;0,1,0)*DB5:DB260)*-1</f>
        <v>0</v>
      </c>
      <c r="DD266" s="10">
        <f t="array" ref="DD266">SUM(IF(DD5:DD260=0,1,0)*IF(DC5:DC260&gt;0,1,0)*DC5:DC260)*-1</f>
        <v>0</v>
      </c>
      <c r="DE266" s="10">
        <f t="array" ref="DE266">SUM(IF(DE5:DE260=0,1,0)*IF(DD5:DD260&gt;0,1,0)*DD5:DD260)*-1</f>
        <v>0</v>
      </c>
      <c r="DF266" s="10">
        <f t="array" ref="DF266">SUM(IF(DF5:DF260=0,1,0)*IF(DE5:DE260&gt;0,1,0)*DE5:DE260)*-1</f>
        <v>0</v>
      </c>
      <c r="DG266" s="10">
        <f t="array" ref="DG266">SUM(IF(DG5:DG260=0,1,0)*IF(DF5:DF260&gt;0,1,0)*DF5:DF260)*-1</f>
        <v>0</v>
      </c>
      <c r="DH266" s="10">
        <f t="array" ref="DH266">SUM(IF(DH5:DH260=0,1,0)*IF(DG5:DG260&gt;0,1,0)*DG5:DG260)*-1</f>
        <v>0</v>
      </c>
      <c r="DI266" s="10">
        <f t="array" ref="DI266">SUM(IF(DI5:DI260=0,1,0)*IF(DH5:DH260&gt;0,1,0)*DH5:DH260)*-1</f>
        <v>0</v>
      </c>
      <c r="DJ266" s="10">
        <f t="array" ref="DJ266">SUM(IF(DJ5:DJ260=0,1,0)*IF(DI5:DI260&gt;0,1,0)*DI5:DI260)*-1</f>
        <v>0</v>
      </c>
      <c r="DK266" s="10">
        <f t="array" ref="DK266">SUM(IF(DK5:DK260=0,1,0)*IF(DJ5:DJ260&gt;0,1,0)*DJ5:DJ260)*-1</f>
        <v>0</v>
      </c>
      <c r="DL266" s="10">
        <f t="array" ref="DL266">SUM(IF(DL5:DL260=0,1,0)*IF(DK5:DK260&gt;0,1,0)*DK5:DK260)*-1</f>
        <v>0</v>
      </c>
      <c r="DM266" s="10">
        <f t="array" ref="DM266">SUM(IF(DM5:DM260=0,1,0)*IF(DL5:DL260&gt;0,1,0)*DL5:DL260)*-1</f>
        <v>0</v>
      </c>
      <c r="DN266" s="10">
        <f t="array" ref="DN266">SUM(IF(DN5:DN260=0,1,0)*IF(DM5:DM260&gt;0,1,0)*DM5:DM260)*-1</f>
        <v>-450</v>
      </c>
      <c r="DO266" s="10">
        <f t="array" ref="DO266">SUM(IF(DO5:DO260=0,1,0)*IF(DN5:DN260&gt;0,1,0)*DN5:DN260)*-1</f>
        <v>-1620</v>
      </c>
      <c r="DP266" s="10">
        <f t="array" ref="DP266">SUM(IF(DP5:DP260=0,1,0)*IF(DO5:DO260&gt;0,1,0)*DO5:DO260)*-1</f>
        <v>-450</v>
      </c>
      <c r="DQ266" s="10">
        <f t="array" ref="DQ266">SUM(IF(DQ5:DQ260=0,1,0)*IF(DP5:DP260&gt;0,1,0)*DP5:DP260)*-1</f>
        <v>-16299.916666666666</v>
      </c>
      <c r="DR266" s="10">
        <f t="array" ref="DR266">SUM(IF(DR5:DR260=0,1,0)*IF(DQ5:DQ260&gt;0,1,0)*DQ5:DQ260)*-1</f>
        <v>0</v>
      </c>
      <c r="DS266" s="10">
        <f t="array" ref="DS266">SUM(IF(DS5:DS260=0,1,0)*IF(DR5:DR260&gt;0,1,0)*DR5:DR260)*-1</f>
        <v>-7505.833333333333</v>
      </c>
      <c r="DT266" s="10">
        <f t="array" ref="DT266">SUM(IF(DT5:DT260=0,1,0)*IF(DS5:DS260&gt;0,1,0)*DS5:DS260)*-1</f>
        <v>-2579.5</v>
      </c>
      <c r="DU266" s="10">
        <f t="array" ref="DU266">SUM(IF(DU5:DU260=0,1,0)*IF(DT5:DT260&gt;0,1,0)*DT5:DT260)*-1</f>
        <v>-450</v>
      </c>
      <c r="DV266" s="10">
        <f t="array" ref="DV266">SUM(IF(DV5:DV260=0,1,0)*IF(DU5:DU260&gt;0,1,0)*DU5:DU260)*-1</f>
        <v>-4612.5</v>
      </c>
      <c r="DW266" s="10">
        <f t="array" ref="DW266">SUM(IF(DW5:DW260=0,1,0)*IF(DV5:DV260&gt;0,1,0)*DV5:DV260)*-1</f>
        <v>-3692</v>
      </c>
      <c r="DX266" s="10">
        <f t="array" ref="DX266">SUM(IF(DX5:DX260=0,1,0)*IF(DW5:DW260&gt;0,1,0)*DW5:DW260)*-1</f>
        <v>-3173.5</v>
      </c>
      <c r="DY266" s="10">
        <f t="array" ref="DY266">SUM(IF(DY5:DY260=0,1,0)*IF(DX5:DX260&gt;0,1,0)*DX5:DX260)*-1</f>
        <v>-1250</v>
      </c>
      <c r="DZ266" s="10">
        <f t="array" ref="DZ266">SUM(IF(DZ5:DZ260=0,1,0)*IF(DY5:DY260&gt;0,1,0)*DY5:DY260)*-1</f>
        <v>-2240</v>
      </c>
      <c r="EA266" s="10">
        <f t="array" ref="EA266">SUM(IF(EA5:EA260=0,1,0)*IF(DZ5:DZ260&gt;0,1,0)*DZ5:DZ260)*-1</f>
        <v>-1310</v>
      </c>
      <c r="EB266" s="10">
        <f t="array" ref="EB266">SUM(IF(EB5:EB260=0,1,0)*IF(EA5:EA260&gt;0,1,0)*EA5:EA260)*-1</f>
        <v>-2578.5</v>
      </c>
      <c r="EC266" s="10">
        <f t="array" ref="EC266">SUM(IF(EC5:EC260=0,1,0)*IF(EB5:EB260&gt;0,1,0)*EB5:EB260)*-1</f>
        <v>0</v>
      </c>
      <c r="ED266" s="10">
        <f t="array" ref="ED266">SUM(IF(ED5:ED260=0,1,0)*IF(EC5:EC260&gt;0,1,0)*EC5:EC260)*-1</f>
        <v>0</v>
      </c>
      <c r="EE266" s="10">
        <f t="array" ref="EE266">SUM(IF(EE5:EE260=0,1,0)*IF(ED5:ED260&gt;0,1,0)*ED5:ED260)*-1</f>
        <v>0</v>
      </c>
      <c r="EF266" s="10">
        <f t="array" ref="EF266">SUM(IF(EF5:EF260=0,1,0)*IF(EE5:EE260&gt;0,1,0)*EE5:EE260)*-1</f>
        <v>-23769.166666666668</v>
      </c>
      <c r="EG266" s="10">
        <f t="array" ref="EG266">SUM(IF(EG5:EG260=0,1,0)*IF(EF5:EF260&gt;0,1,0)*EF5:EF260)*-1</f>
        <v>0</v>
      </c>
      <c r="EH266" s="10">
        <f t="array" ref="EH266">SUM(IF(EH5:EH260=0,1,0)*IF(EG5:EG260&gt;0,1,0)*EG5:EG260)*-1</f>
        <v>0</v>
      </c>
    </row>
    <row r="267" spans="3:140" customFormat="1" x14ac:dyDescent="0.25">
      <c r="D267" s="11" t="s">
        <v>7</v>
      </c>
      <c r="E267" s="11"/>
      <c r="F267" s="11"/>
      <c r="G267" s="11">
        <f t="shared" ref="G267:BR267" si="9">SUM(G262:G266)</f>
        <v>0</v>
      </c>
      <c r="H267" s="11">
        <f t="shared" si="9"/>
        <v>0</v>
      </c>
      <c r="I267" s="11">
        <f t="shared" si="9"/>
        <v>0</v>
      </c>
      <c r="J267" s="11">
        <f t="shared" si="9"/>
        <v>0</v>
      </c>
      <c r="K267" s="11">
        <f t="shared" si="9"/>
        <v>0</v>
      </c>
      <c r="L267" s="11">
        <f t="shared" si="9"/>
        <v>0</v>
      </c>
      <c r="M267" s="11">
        <f t="shared" si="9"/>
        <v>0</v>
      </c>
      <c r="N267" s="11">
        <f t="shared" si="9"/>
        <v>0</v>
      </c>
      <c r="O267" s="11">
        <f t="shared" si="9"/>
        <v>0</v>
      </c>
      <c r="P267" s="11">
        <f t="shared" si="9"/>
        <v>0</v>
      </c>
      <c r="Q267" s="11">
        <f t="shared" si="9"/>
        <v>0</v>
      </c>
      <c r="R267" s="11">
        <f t="shared" si="9"/>
        <v>0</v>
      </c>
      <c r="S267" s="11">
        <f t="shared" si="9"/>
        <v>0</v>
      </c>
      <c r="T267" s="11">
        <f t="shared" si="9"/>
        <v>0</v>
      </c>
      <c r="U267" s="11">
        <f t="shared" si="9"/>
        <v>0</v>
      </c>
      <c r="V267" s="11">
        <f t="shared" si="9"/>
        <v>0</v>
      </c>
      <c r="W267" s="11">
        <f t="shared" si="9"/>
        <v>0</v>
      </c>
      <c r="X267" s="11">
        <f t="shared" si="9"/>
        <v>0</v>
      </c>
      <c r="Y267" s="11">
        <f t="shared" si="9"/>
        <v>0</v>
      </c>
      <c r="Z267" s="11">
        <f t="shared" si="9"/>
        <v>0</v>
      </c>
      <c r="AA267" s="11">
        <f t="shared" si="9"/>
        <v>0</v>
      </c>
      <c r="AB267" s="11">
        <f t="shared" si="9"/>
        <v>0</v>
      </c>
      <c r="AC267" s="11">
        <f t="shared" si="9"/>
        <v>0</v>
      </c>
      <c r="AD267" s="11">
        <f t="shared" si="9"/>
        <v>0</v>
      </c>
      <c r="AE267" s="11">
        <f t="shared" si="9"/>
        <v>0</v>
      </c>
      <c r="AF267" s="11">
        <f t="shared" si="9"/>
        <v>0</v>
      </c>
      <c r="AG267" s="11">
        <f t="shared" si="9"/>
        <v>0</v>
      </c>
      <c r="AH267" s="11">
        <f t="shared" si="9"/>
        <v>0</v>
      </c>
      <c r="AI267" s="11">
        <f t="shared" si="9"/>
        <v>0</v>
      </c>
      <c r="AJ267" s="11">
        <f t="shared" si="9"/>
        <v>0</v>
      </c>
      <c r="AK267" s="11">
        <f t="shared" si="9"/>
        <v>0</v>
      </c>
      <c r="AL267" s="11">
        <f t="shared" si="9"/>
        <v>0</v>
      </c>
      <c r="AM267" s="11">
        <f t="shared" si="9"/>
        <v>0</v>
      </c>
      <c r="AN267" s="11">
        <f t="shared" si="9"/>
        <v>0</v>
      </c>
      <c r="AO267" s="11">
        <f t="shared" si="9"/>
        <v>0</v>
      </c>
      <c r="AP267" s="11">
        <f t="shared" si="9"/>
        <v>0</v>
      </c>
      <c r="AQ267" s="11">
        <f t="shared" si="9"/>
        <v>0</v>
      </c>
      <c r="AR267" s="11">
        <f t="shared" si="9"/>
        <v>0</v>
      </c>
      <c r="AS267" s="11">
        <f t="shared" si="9"/>
        <v>0</v>
      </c>
      <c r="AT267" s="11">
        <f t="shared" si="9"/>
        <v>0</v>
      </c>
      <c r="AU267" s="11">
        <f t="shared" si="9"/>
        <v>0</v>
      </c>
      <c r="AV267" s="11">
        <f t="shared" si="9"/>
        <v>0</v>
      </c>
      <c r="AW267" s="11">
        <f t="shared" si="9"/>
        <v>0</v>
      </c>
      <c r="AX267" s="11">
        <f t="shared" si="9"/>
        <v>0</v>
      </c>
      <c r="AY267" s="11">
        <f t="shared" si="9"/>
        <v>0</v>
      </c>
      <c r="AZ267" s="11">
        <f t="shared" si="9"/>
        <v>0</v>
      </c>
      <c r="BA267" s="11">
        <f t="shared" si="9"/>
        <v>0</v>
      </c>
      <c r="BB267" s="11">
        <f t="shared" si="9"/>
        <v>0</v>
      </c>
      <c r="BC267" s="11">
        <f t="shared" si="9"/>
        <v>0</v>
      </c>
      <c r="BD267" s="11">
        <f t="shared" si="9"/>
        <v>0</v>
      </c>
      <c r="BE267" s="11">
        <f t="shared" si="9"/>
        <v>0</v>
      </c>
      <c r="BF267" s="11">
        <f t="shared" si="9"/>
        <v>0</v>
      </c>
      <c r="BG267" s="11">
        <f t="shared" si="9"/>
        <v>0</v>
      </c>
      <c r="BH267" s="11">
        <f t="shared" si="9"/>
        <v>0</v>
      </c>
      <c r="BI267" s="11">
        <f t="shared" si="9"/>
        <v>0</v>
      </c>
      <c r="BJ267" s="11">
        <f t="shared" si="9"/>
        <v>0</v>
      </c>
      <c r="BK267" s="11">
        <f t="shared" si="9"/>
        <v>0</v>
      </c>
      <c r="BL267" s="11">
        <f t="shared" si="9"/>
        <v>0</v>
      </c>
      <c r="BM267" s="11">
        <f t="shared" si="9"/>
        <v>0</v>
      </c>
      <c r="BN267" s="11">
        <f t="shared" si="9"/>
        <v>0</v>
      </c>
      <c r="BO267" s="11">
        <f t="shared" si="9"/>
        <v>0</v>
      </c>
      <c r="BP267" s="11">
        <f t="shared" si="9"/>
        <v>0</v>
      </c>
      <c r="BQ267" s="11">
        <f t="shared" si="9"/>
        <v>0</v>
      </c>
      <c r="BR267" s="11">
        <f t="shared" si="9"/>
        <v>0</v>
      </c>
      <c r="BS267" s="11">
        <f t="shared" ref="BS267:ED267" si="10">SUM(BS262:BS266)</f>
        <v>0</v>
      </c>
      <c r="BT267" s="11">
        <f t="shared" si="10"/>
        <v>0</v>
      </c>
      <c r="BU267" s="11">
        <f t="shared" si="10"/>
        <v>0</v>
      </c>
      <c r="BV267" s="11">
        <f t="shared" si="10"/>
        <v>0</v>
      </c>
      <c r="BW267" s="11">
        <f t="shared" si="10"/>
        <v>0</v>
      </c>
      <c r="BX267" s="11">
        <f t="shared" si="10"/>
        <v>0</v>
      </c>
      <c r="BY267" s="11">
        <f t="shared" si="10"/>
        <v>0</v>
      </c>
      <c r="BZ267" s="11">
        <f t="shared" si="10"/>
        <v>0</v>
      </c>
      <c r="CA267" s="11">
        <f t="shared" si="10"/>
        <v>0</v>
      </c>
      <c r="CB267" s="11">
        <f t="shared" si="10"/>
        <v>0</v>
      </c>
      <c r="CC267" s="11">
        <f t="shared" si="10"/>
        <v>0</v>
      </c>
      <c r="CD267" s="11">
        <f t="shared" si="10"/>
        <v>0</v>
      </c>
      <c r="CE267" s="11">
        <f t="shared" si="10"/>
        <v>0</v>
      </c>
      <c r="CF267" s="11">
        <f t="shared" si="10"/>
        <v>0</v>
      </c>
      <c r="CG267" s="11">
        <f t="shared" si="10"/>
        <v>0</v>
      </c>
      <c r="CH267" s="11">
        <f t="shared" si="10"/>
        <v>0</v>
      </c>
      <c r="CI267" s="11">
        <f t="shared" si="10"/>
        <v>0</v>
      </c>
      <c r="CJ267" s="11">
        <f t="shared" si="10"/>
        <v>0</v>
      </c>
      <c r="CK267" s="11">
        <f t="shared" si="10"/>
        <v>0</v>
      </c>
      <c r="CL267" s="11">
        <f t="shared" si="10"/>
        <v>0</v>
      </c>
      <c r="CM267" s="11">
        <f t="shared" si="10"/>
        <v>0</v>
      </c>
      <c r="CN267" s="11">
        <f t="shared" si="10"/>
        <v>0</v>
      </c>
      <c r="CO267" s="11">
        <f t="shared" si="10"/>
        <v>0</v>
      </c>
      <c r="CP267" s="11">
        <f t="shared" si="10"/>
        <v>0</v>
      </c>
      <c r="CQ267" s="11">
        <f t="shared" si="10"/>
        <v>0</v>
      </c>
      <c r="CR267" s="11">
        <f t="shared" si="10"/>
        <v>0</v>
      </c>
      <c r="CS267" s="11">
        <f t="shared" si="10"/>
        <v>0</v>
      </c>
      <c r="CT267" s="11">
        <f t="shared" si="10"/>
        <v>0</v>
      </c>
      <c r="CU267" s="11">
        <f t="shared" si="10"/>
        <v>0</v>
      </c>
      <c r="CV267" s="11">
        <f t="shared" si="10"/>
        <v>0</v>
      </c>
      <c r="CW267" s="11">
        <f t="shared" si="10"/>
        <v>0</v>
      </c>
      <c r="CX267" s="11">
        <f t="shared" si="10"/>
        <v>0</v>
      </c>
      <c r="CY267" s="11">
        <f>SUM(CY262:CY266)</f>
        <v>0</v>
      </c>
      <c r="CZ267" s="11">
        <f t="shared" si="10"/>
        <v>0</v>
      </c>
      <c r="DA267" s="11">
        <f t="shared" si="10"/>
        <v>0</v>
      </c>
      <c r="DB267" s="11">
        <f t="shared" si="10"/>
        <v>0</v>
      </c>
      <c r="DC267" s="11">
        <f t="shared" si="10"/>
        <v>0</v>
      </c>
      <c r="DD267" s="11">
        <f t="shared" si="10"/>
        <v>0</v>
      </c>
      <c r="DE267" s="11">
        <f t="shared" si="10"/>
        <v>0</v>
      </c>
      <c r="DF267" s="11">
        <f t="shared" si="10"/>
        <v>0</v>
      </c>
      <c r="DG267" s="11">
        <f t="shared" si="10"/>
        <v>0</v>
      </c>
      <c r="DH267" s="11">
        <f t="shared" si="10"/>
        <v>0</v>
      </c>
      <c r="DI267" s="11">
        <f t="shared" si="10"/>
        <v>0</v>
      </c>
      <c r="DJ267" s="11">
        <f t="shared" si="10"/>
        <v>0</v>
      </c>
      <c r="DK267" s="11">
        <f t="shared" si="10"/>
        <v>299460.5</v>
      </c>
      <c r="DL267" s="11">
        <f t="shared" si="10"/>
        <v>311491.66666666669</v>
      </c>
      <c r="DM267" s="11">
        <f t="shared" si="10"/>
        <v>314850.33333333337</v>
      </c>
      <c r="DN267" s="11">
        <f t="shared" si="10"/>
        <v>320191.58333333337</v>
      </c>
      <c r="DO267" s="11">
        <f t="shared" si="10"/>
        <v>325538.16666666669</v>
      </c>
      <c r="DP267" s="11">
        <f t="shared" si="10"/>
        <v>327802.08333333337</v>
      </c>
      <c r="DQ267" s="11">
        <f t="shared" si="10"/>
        <v>333619.58333333337</v>
      </c>
      <c r="DR267" s="11">
        <f t="shared" si="10"/>
        <v>340313.91666666669</v>
      </c>
      <c r="DS267" s="11">
        <f t="shared" si="10"/>
        <v>342810.16666666669</v>
      </c>
      <c r="DT267" s="11">
        <f t="shared" si="10"/>
        <v>402162.83333333337</v>
      </c>
      <c r="DU267" s="11">
        <f t="shared" si="10"/>
        <v>404737.16666666669</v>
      </c>
      <c r="DV267" s="11">
        <f t="shared" si="10"/>
        <v>415524.25</v>
      </c>
      <c r="DW267" s="11">
        <f t="shared" si="10"/>
        <v>419616.75</v>
      </c>
      <c r="DX267" s="11">
        <f t="shared" si="10"/>
        <v>442167.5</v>
      </c>
      <c r="DY267" s="11">
        <f t="shared" si="10"/>
        <v>454787.5</v>
      </c>
      <c r="DZ267" s="11">
        <f t="shared" si="10"/>
        <v>457053.16666666669</v>
      </c>
      <c r="EA267" s="11">
        <f t="shared" si="10"/>
        <v>460381.83333333337</v>
      </c>
      <c r="EB267" s="11">
        <f t="shared" si="10"/>
        <v>495421.25</v>
      </c>
      <c r="EC267" s="11">
        <f t="shared" si="10"/>
        <v>495035.75</v>
      </c>
      <c r="ED267" s="11">
        <f t="shared" si="10"/>
        <v>500854.41666666669</v>
      </c>
      <c r="EE267" s="11">
        <f>SUM(EE262:EE266)</f>
        <v>546340.00000000012</v>
      </c>
      <c r="EF267" s="11">
        <f>SUM(EF262:EF266)</f>
        <v>524921.83333333349</v>
      </c>
      <c r="EG267" s="11">
        <f>SUM(EG262:EG266)</f>
        <v>561818.58333333349</v>
      </c>
      <c r="EH267" s="11">
        <f>SUM(EH262:EH266)</f>
        <v>590623.00000000012</v>
      </c>
    </row>
    <row r="268" spans="3:140" customFormat="1" x14ac:dyDescent="0.25"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</row>
    <row r="269" spans="3:140" customFormat="1" x14ac:dyDescent="0.25">
      <c r="D269" s="12" t="s">
        <v>8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</row>
    <row r="270" spans="3:140" customFormat="1" x14ac:dyDescent="0.25">
      <c r="D270" s="5" t="s">
        <v>9</v>
      </c>
      <c r="E270" s="5"/>
      <c r="F270" s="5"/>
      <c r="G270" s="5">
        <f t="shared" ref="G270:BR270" si="11">G267*12</f>
        <v>0</v>
      </c>
      <c r="H270" s="5">
        <f t="shared" si="11"/>
        <v>0</v>
      </c>
      <c r="I270" s="5">
        <f t="shared" si="11"/>
        <v>0</v>
      </c>
      <c r="J270" s="5">
        <f t="shared" si="11"/>
        <v>0</v>
      </c>
      <c r="K270" s="5">
        <f t="shared" si="11"/>
        <v>0</v>
      </c>
      <c r="L270" s="5">
        <f t="shared" si="11"/>
        <v>0</v>
      </c>
      <c r="M270" s="5">
        <f t="shared" si="11"/>
        <v>0</v>
      </c>
      <c r="N270" s="5">
        <f t="shared" si="11"/>
        <v>0</v>
      </c>
      <c r="O270" s="5">
        <f t="shared" si="11"/>
        <v>0</v>
      </c>
      <c r="P270" s="5">
        <f t="shared" si="11"/>
        <v>0</v>
      </c>
      <c r="Q270" s="5">
        <f t="shared" si="11"/>
        <v>0</v>
      </c>
      <c r="R270" s="5">
        <f t="shared" si="11"/>
        <v>0</v>
      </c>
      <c r="S270" s="5">
        <f t="shared" si="11"/>
        <v>0</v>
      </c>
      <c r="T270" s="5">
        <f t="shared" si="11"/>
        <v>0</v>
      </c>
      <c r="U270" s="5">
        <f t="shared" si="11"/>
        <v>0</v>
      </c>
      <c r="V270" s="5">
        <f t="shared" si="11"/>
        <v>0</v>
      </c>
      <c r="W270" s="5">
        <f t="shared" si="11"/>
        <v>0</v>
      </c>
      <c r="X270" s="5">
        <f t="shared" si="11"/>
        <v>0</v>
      </c>
      <c r="Y270" s="5">
        <f t="shared" si="11"/>
        <v>0</v>
      </c>
      <c r="Z270" s="5">
        <f t="shared" si="11"/>
        <v>0</v>
      </c>
      <c r="AA270" s="5">
        <f t="shared" si="11"/>
        <v>0</v>
      </c>
      <c r="AB270" s="5">
        <f t="shared" si="11"/>
        <v>0</v>
      </c>
      <c r="AC270" s="5">
        <f t="shared" si="11"/>
        <v>0</v>
      </c>
      <c r="AD270" s="5">
        <f t="shared" si="11"/>
        <v>0</v>
      </c>
      <c r="AE270" s="5">
        <f t="shared" si="11"/>
        <v>0</v>
      </c>
      <c r="AF270" s="5">
        <f t="shared" si="11"/>
        <v>0</v>
      </c>
      <c r="AG270" s="5">
        <f t="shared" si="11"/>
        <v>0</v>
      </c>
      <c r="AH270" s="5">
        <f t="shared" si="11"/>
        <v>0</v>
      </c>
      <c r="AI270" s="5">
        <f t="shared" si="11"/>
        <v>0</v>
      </c>
      <c r="AJ270" s="5">
        <f t="shared" si="11"/>
        <v>0</v>
      </c>
      <c r="AK270" s="5">
        <f t="shared" si="11"/>
        <v>0</v>
      </c>
      <c r="AL270" s="5">
        <f t="shared" si="11"/>
        <v>0</v>
      </c>
      <c r="AM270" s="5">
        <f t="shared" si="11"/>
        <v>0</v>
      </c>
      <c r="AN270" s="5">
        <f t="shared" si="11"/>
        <v>0</v>
      </c>
      <c r="AO270" s="5">
        <f t="shared" si="11"/>
        <v>0</v>
      </c>
      <c r="AP270" s="5">
        <f t="shared" si="11"/>
        <v>0</v>
      </c>
      <c r="AQ270" s="5">
        <f t="shared" si="11"/>
        <v>0</v>
      </c>
      <c r="AR270" s="5">
        <f t="shared" si="11"/>
        <v>0</v>
      </c>
      <c r="AS270" s="5">
        <f t="shared" si="11"/>
        <v>0</v>
      </c>
      <c r="AT270" s="5">
        <f t="shared" si="11"/>
        <v>0</v>
      </c>
      <c r="AU270" s="5">
        <f t="shared" si="11"/>
        <v>0</v>
      </c>
      <c r="AV270" s="5">
        <f t="shared" si="11"/>
        <v>0</v>
      </c>
      <c r="AW270" s="5">
        <f t="shared" si="11"/>
        <v>0</v>
      </c>
      <c r="AX270" s="5">
        <f t="shared" si="11"/>
        <v>0</v>
      </c>
      <c r="AY270" s="5">
        <f t="shared" si="11"/>
        <v>0</v>
      </c>
      <c r="AZ270" s="5">
        <f t="shared" si="11"/>
        <v>0</v>
      </c>
      <c r="BA270" s="5">
        <f t="shared" si="11"/>
        <v>0</v>
      </c>
      <c r="BB270" s="5">
        <f t="shared" si="11"/>
        <v>0</v>
      </c>
      <c r="BC270" s="5">
        <f t="shared" si="11"/>
        <v>0</v>
      </c>
      <c r="BD270" s="5">
        <f t="shared" si="11"/>
        <v>0</v>
      </c>
      <c r="BE270" s="5">
        <f t="shared" si="11"/>
        <v>0</v>
      </c>
      <c r="BF270" s="5">
        <f t="shared" si="11"/>
        <v>0</v>
      </c>
      <c r="BG270" s="5">
        <f t="shared" si="11"/>
        <v>0</v>
      </c>
      <c r="BH270" s="5">
        <f t="shared" si="11"/>
        <v>0</v>
      </c>
      <c r="BI270" s="5">
        <f t="shared" si="11"/>
        <v>0</v>
      </c>
      <c r="BJ270" s="5">
        <f t="shared" si="11"/>
        <v>0</v>
      </c>
      <c r="BK270" s="5">
        <f t="shared" si="11"/>
        <v>0</v>
      </c>
      <c r="BL270" s="5">
        <f t="shared" si="11"/>
        <v>0</v>
      </c>
      <c r="BM270" s="5">
        <f t="shared" si="11"/>
        <v>0</v>
      </c>
      <c r="BN270" s="5">
        <f t="shared" si="11"/>
        <v>0</v>
      </c>
      <c r="BO270" s="5">
        <f t="shared" si="11"/>
        <v>0</v>
      </c>
      <c r="BP270" s="5">
        <f t="shared" si="11"/>
        <v>0</v>
      </c>
      <c r="BQ270" s="5">
        <f t="shared" si="11"/>
        <v>0</v>
      </c>
      <c r="BR270" s="5">
        <f t="shared" si="11"/>
        <v>0</v>
      </c>
      <c r="BS270" s="5">
        <f t="shared" ref="BS270:CP270" si="12">BS267*12</f>
        <v>0</v>
      </c>
      <c r="BT270" s="5">
        <f t="shared" si="12"/>
        <v>0</v>
      </c>
      <c r="BU270" s="5">
        <f t="shared" si="12"/>
        <v>0</v>
      </c>
      <c r="BV270" s="5">
        <f t="shared" si="12"/>
        <v>0</v>
      </c>
      <c r="BW270" s="5">
        <f t="shared" si="12"/>
        <v>0</v>
      </c>
      <c r="BX270" s="5">
        <f t="shared" si="12"/>
        <v>0</v>
      </c>
      <c r="BY270" s="5">
        <f t="shared" si="12"/>
        <v>0</v>
      </c>
      <c r="BZ270" s="5">
        <f t="shared" si="12"/>
        <v>0</v>
      </c>
      <c r="CA270" s="5">
        <f t="shared" si="12"/>
        <v>0</v>
      </c>
      <c r="CB270" s="5">
        <f t="shared" si="12"/>
        <v>0</v>
      </c>
      <c r="CC270" s="5">
        <f t="shared" si="12"/>
        <v>0</v>
      </c>
      <c r="CD270" s="5">
        <f t="shared" si="12"/>
        <v>0</v>
      </c>
      <c r="CE270" s="5">
        <f t="shared" si="12"/>
        <v>0</v>
      </c>
      <c r="CF270" s="5">
        <f t="shared" si="12"/>
        <v>0</v>
      </c>
      <c r="CG270" s="5">
        <f t="shared" si="12"/>
        <v>0</v>
      </c>
      <c r="CH270" s="5">
        <f t="shared" si="12"/>
        <v>0</v>
      </c>
      <c r="CI270" s="5">
        <f t="shared" si="12"/>
        <v>0</v>
      </c>
      <c r="CJ270" s="5">
        <f t="shared" si="12"/>
        <v>0</v>
      </c>
      <c r="CK270" s="5">
        <f t="shared" si="12"/>
        <v>0</v>
      </c>
      <c r="CL270" s="5">
        <f t="shared" si="12"/>
        <v>0</v>
      </c>
      <c r="CM270" s="5">
        <f t="shared" si="12"/>
        <v>0</v>
      </c>
      <c r="CN270" s="5">
        <f t="shared" si="12"/>
        <v>0</v>
      </c>
      <c r="CO270" s="5">
        <f t="shared" si="12"/>
        <v>0</v>
      </c>
      <c r="CP270" s="5">
        <f t="shared" si="12"/>
        <v>0</v>
      </c>
      <c r="CQ270" s="5">
        <f>CQ267*12</f>
        <v>0</v>
      </c>
      <c r="CR270" s="5">
        <f t="shared" ref="CR270:EH270" si="13">CR267*12</f>
        <v>0</v>
      </c>
      <c r="CS270" s="5">
        <f t="shared" si="13"/>
        <v>0</v>
      </c>
      <c r="CT270" s="5">
        <f t="shared" si="13"/>
        <v>0</v>
      </c>
      <c r="CU270" s="5">
        <f t="shared" si="13"/>
        <v>0</v>
      </c>
      <c r="CV270" s="5">
        <f t="shared" si="13"/>
        <v>0</v>
      </c>
      <c r="CW270" s="5">
        <f t="shared" si="13"/>
        <v>0</v>
      </c>
      <c r="CX270" s="5">
        <f t="shared" si="13"/>
        <v>0</v>
      </c>
      <c r="CY270" s="5">
        <f t="shared" si="13"/>
        <v>0</v>
      </c>
      <c r="CZ270" s="5">
        <f t="shared" si="13"/>
        <v>0</v>
      </c>
      <c r="DA270" s="5">
        <f t="shared" si="13"/>
        <v>0</v>
      </c>
      <c r="DB270" s="5">
        <f t="shared" si="13"/>
        <v>0</v>
      </c>
      <c r="DC270" s="5">
        <f t="shared" si="13"/>
        <v>0</v>
      </c>
      <c r="DD270" s="5">
        <f t="shared" si="13"/>
        <v>0</v>
      </c>
      <c r="DE270" s="5">
        <f t="shared" si="13"/>
        <v>0</v>
      </c>
      <c r="DF270" s="5">
        <f t="shared" si="13"/>
        <v>0</v>
      </c>
      <c r="DG270" s="5">
        <f t="shared" si="13"/>
        <v>0</v>
      </c>
      <c r="DH270" s="5">
        <f t="shared" si="13"/>
        <v>0</v>
      </c>
      <c r="DI270" s="5">
        <f t="shared" si="13"/>
        <v>0</v>
      </c>
      <c r="DJ270" s="5">
        <f t="shared" si="13"/>
        <v>0</v>
      </c>
      <c r="DK270" s="5">
        <f t="shared" si="13"/>
        <v>3593526</v>
      </c>
      <c r="DL270" s="5">
        <f t="shared" si="13"/>
        <v>3737900</v>
      </c>
      <c r="DM270" s="5">
        <f t="shared" si="13"/>
        <v>3778204.0000000005</v>
      </c>
      <c r="DN270" s="5">
        <f t="shared" si="13"/>
        <v>3842299.0000000005</v>
      </c>
      <c r="DO270" s="5">
        <f t="shared" si="13"/>
        <v>3906458</v>
      </c>
      <c r="DP270" s="5">
        <f t="shared" si="13"/>
        <v>3933625.0000000005</v>
      </c>
      <c r="DQ270" s="5">
        <f t="shared" si="13"/>
        <v>4003435.0000000005</v>
      </c>
      <c r="DR270" s="5">
        <f t="shared" si="13"/>
        <v>4083767</v>
      </c>
      <c r="DS270" s="5">
        <f t="shared" si="13"/>
        <v>4113722</v>
      </c>
      <c r="DT270" s="5">
        <f t="shared" si="13"/>
        <v>4825954</v>
      </c>
      <c r="DU270" s="5">
        <f t="shared" si="13"/>
        <v>4856846</v>
      </c>
      <c r="DV270" s="5">
        <f t="shared" si="13"/>
        <v>4986291</v>
      </c>
      <c r="DW270" s="5">
        <f t="shared" si="13"/>
        <v>5035401</v>
      </c>
      <c r="DX270" s="5">
        <f t="shared" si="13"/>
        <v>5306010</v>
      </c>
      <c r="DY270" s="5">
        <f t="shared" si="13"/>
        <v>5457450</v>
      </c>
      <c r="DZ270" s="5">
        <f t="shared" si="13"/>
        <v>5484638</v>
      </c>
      <c r="EA270" s="5">
        <f t="shared" si="13"/>
        <v>5524582</v>
      </c>
      <c r="EB270" s="5">
        <f t="shared" si="13"/>
        <v>5945055</v>
      </c>
      <c r="EC270" s="5">
        <f t="shared" si="13"/>
        <v>5940429</v>
      </c>
      <c r="ED270" s="5">
        <f t="shared" si="13"/>
        <v>6010253</v>
      </c>
      <c r="EE270" s="5">
        <f t="shared" si="13"/>
        <v>6556080.0000000019</v>
      </c>
      <c r="EF270" s="5">
        <f t="shared" si="13"/>
        <v>6299062.0000000019</v>
      </c>
      <c r="EG270" s="5">
        <f t="shared" si="13"/>
        <v>6741823.0000000019</v>
      </c>
      <c r="EH270" s="5">
        <f t="shared" si="13"/>
        <v>7087476.0000000019</v>
      </c>
      <c r="EJ270" s="13"/>
    </row>
    <row r="271" spans="3:140" customFormat="1" x14ac:dyDescent="0.25">
      <c r="D271" s="5" t="s">
        <v>1</v>
      </c>
      <c r="E271" s="5"/>
      <c r="F271" s="5"/>
      <c r="G271" s="5">
        <f t="shared" ref="G271:BR271" si="14">G267</f>
        <v>0</v>
      </c>
      <c r="H271" s="5">
        <f t="shared" si="14"/>
        <v>0</v>
      </c>
      <c r="I271" s="5">
        <f t="shared" si="14"/>
        <v>0</v>
      </c>
      <c r="J271" s="5">
        <f t="shared" si="14"/>
        <v>0</v>
      </c>
      <c r="K271" s="5">
        <f t="shared" si="14"/>
        <v>0</v>
      </c>
      <c r="L271" s="5">
        <f t="shared" si="14"/>
        <v>0</v>
      </c>
      <c r="M271" s="5">
        <f t="shared" si="14"/>
        <v>0</v>
      </c>
      <c r="N271" s="5">
        <f t="shared" si="14"/>
        <v>0</v>
      </c>
      <c r="O271" s="5">
        <f t="shared" si="14"/>
        <v>0</v>
      </c>
      <c r="P271" s="5">
        <f t="shared" si="14"/>
        <v>0</v>
      </c>
      <c r="Q271" s="5">
        <f t="shared" si="14"/>
        <v>0</v>
      </c>
      <c r="R271" s="5">
        <f t="shared" si="14"/>
        <v>0</v>
      </c>
      <c r="S271" s="5">
        <f t="shared" si="14"/>
        <v>0</v>
      </c>
      <c r="T271" s="5">
        <f t="shared" si="14"/>
        <v>0</v>
      </c>
      <c r="U271" s="5">
        <f t="shared" si="14"/>
        <v>0</v>
      </c>
      <c r="V271" s="5">
        <f t="shared" si="14"/>
        <v>0</v>
      </c>
      <c r="W271" s="5">
        <f t="shared" si="14"/>
        <v>0</v>
      </c>
      <c r="X271" s="5">
        <f t="shared" si="14"/>
        <v>0</v>
      </c>
      <c r="Y271" s="5">
        <f t="shared" si="14"/>
        <v>0</v>
      </c>
      <c r="Z271" s="5">
        <f t="shared" si="14"/>
        <v>0</v>
      </c>
      <c r="AA271" s="5">
        <f t="shared" si="14"/>
        <v>0</v>
      </c>
      <c r="AB271" s="5">
        <f t="shared" si="14"/>
        <v>0</v>
      </c>
      <c r="AC271" s="5">
        <f t="shared" si="14"/>
        <v>0</v>
      </c>
      <c r="AD271" s="5">
        <f t="shared" si="14"/>
        <v>0</v>
      </c>
      <c r="AE271" s="5">
        <f t="shared" si="14"/>
        <v>0</v>
      </c>
      <c r="AF271" s="5">
        <f t="shared" si="14"/>
        <v>0</v>
      </c>
      <c r="AG271" s="5">
        <f t="shared" si="14"/>
        <v>0</v>
      </c>
      <c r="AH271" s="5">
        <f t="shared" si="14"/>
        <v>0</v>
      </c>
      <c r="AI271" s="5">
        <f t="shared" si="14"/>
        <v>0</v>
      </c>
      <c r="AJ271" s="5">
        <f t="shared" si="14"/>
        <v>0</v>
      </c>
      <c r="AK271" s="5">
        <f t="shared" si="14"/>
        <v>0</v>
      </c>
      <c r="AL271" s="5">
        <f t="shared" si="14"/>
        <v>0</v>
      </c>
      <c r="AM271" s="5">
        <f t="shared" si="14"/>
        <v>0</v>
      </c>
      <c r="AN271" s="5">
        <f t="shared" si="14"/>
        <v>0</v>
      </c>
      <c r="AO271" s="5">
        <f t="shared" si="14"/>
        <v>0</v>
      </c>
      <c r="AP271" s="5">
        <f t="shared" si="14"/>
        <v>0</v>
      </c>
      <c r="AQ271" s="5">
        <f t="shared" si="14"/>
        <v>0</v>
      </c>
      <c r="AR271" s="5">
        <f t="shared" si="14"/>
        <v>0</v>
      </c>
      <c r="AS271" s="5">
        <f t="shared" si="14"/>
        <v>0</v>
      </c>
      <c r="AT271" s="5">
        <f t="shared" si="14"/>
        <v>0</v>
      </c>
      <c r="AU271" s="5">
        <f t="shared" si="14"/>
        <v>0</v>
      </c>
      <c r="AV271" s="5">
        <f t="shared" si="14"/>
        <v>0</v>
      </c>
      <c r="AW271" s="5">
        <f t="shared" si="14"/>
        <v>0</v>
      </c>
      <c r="AX271" s="5">
        <f t="shared" si="14"/>
        <v>0</v>
      </c>
      <c r="AY271" s="5">
        <f t="shared" si="14"/>
        <v>0</v>
      </c>
      <c r="AZ271" s="5">
        <f t="shared" si="14"/>
        <v>0</v>
      </c>
      <c r="BA271" s="5">
        <f t="shared" si="14"/>
        <v>0</v>
      </c>
      <c r="BB271" s="5">
        <f t="shared" si="14"/>
        <v>0</v>
      </c>
      <c r="BC271" s="5">
        <f t="shared" si="14"/>
        <v>0</v>
      </c>
      <c r="BD271" s="5">
        <f t="shared" si="14"/>
        <v>0</v>
      </c>
      <c r="BE271" s="5">
        <f t="shared" si="14"/>
        <v>0</v>
      </c>
      <c r="BF271" s="5">
        <f t="shared" si="14"/>
        <v>0</v>
      </c>
      <c r="BG271" s="5">
        <f t="shared" si="14"/>
        <v>0</v>
      </c>
      <c r="BH271" s="5">
        <f t="shared" si="14"/>
        <v>0</v>
      </c>
      <c r="BI271" s="5">
        <f t="shared" si="14"/>
        <v>0</v>
      </c>
      <c r="BJ271" s="5">
        <f t="shared" si="14"/>
        <v>0</v>
      </c>
      <c r="BK271" s="5">
        <f t="shared" si="14"/>
        <v>0</v>
      </c>
      <c r="BL271" s="5">
        <f t="shared" si="14"/>
        <v>0</v>
      </c>
      <c r="BM271" s="5">
        <f t="shared" si="14"/>
        <v>0</v>
      </c>
      <c r="BN271" s="5">
        <f t="shared" si="14"/>
        <v>0</v>
      </c>
      <c r="BO271" s="5">
        <f t="shared" si="14"/>
        <v>0</v>
      </c>
      <c r="BP271" s="5">
        <f t="shared" si="14"/>
        <v>0</v>
      </c>
      <c r="BQ271" s="5">
        <f t="shared" si="14"/>
        <v>0</v>
      </c>
      <c r="BR271" s="5">
        <f t="shared" si="14"/>
        <v>0</v>
      </c>
      <c r="BS271" s="5">
        <f t="shared" ref="BS271:CO271" si="15">BS267</f>
        <v>0</v>
      </c>
      <c r="BT271" s="5">
        <f t="shared" si="15"/>
        <v>0</v>
      </c>
      <c r="BU271" s="5">
        <f t="shared" si="15"/>
        <v>0</v>
      </c>
      <c r="BV271" s="5">
        <f t="shared" si="15"/>
        <v>0</v>
      </c>
      <c r="BW271" s="5">
        <f t="shared" si="15"/>
        <v>0</v>
      </c>
      <c r="BX271" s="5">
        <f t="shared" si="15"/>
        <v>0</v>
      </c>
      <c r="BY271" s="5">
        <f t="shared" si="15"/>
        <v>0</v>
      </c>
      <c r="BZ271" s="5">
        <f t="shared" si="15"/>
        <v>0</v>
      </c>
      <c r="CA271" s="5">
        <f t="shared" si="15"/>
        <v>0</v>
      </c>
      <c r="CB271" s="5">
        <f t="shared" si="15"/>
        <v>0</v>
      </c>
      <c r="CC271" s="5">
        <f t="shared" si="15"/>
        <v>0</v>
      </c>
      <c r="CD271" s="5">
        <f t="shared" si="15"/>
        <v>0</v>
      </c>
      <c r="CE271" s="5">
        <f t="shared" si="15"/>
        <v>0</v>
      </c>
      <c r="CF271" s="5">
        <f t="shared" si="15"/>
        <v>0</v>
      </c>
      <c r="CG271" s="5">
        <f t="shared" si="15"/>
        <v>0</v>
      </c>
      <c r="CH271" s="5">
        <f t="shared" si="15"/>
        <v>0</v>
      </c>
      <c r="CI271" s="5">
        <f t="shared" si="15"/>
        <v>0</v>
      </c>
      <c r="CJ271" s="5">
        <f t="shared" si="15"/>
        <v>0</v>
      </c>
      <c r="CK271" s="5">
        <f t="shared" si="15"/>
        <v>0</v>
      </c>
      <c r="CL271" s="5">
        <f t="shared" si="15"/>
        <v>0</v>
      </c>
      <c r="CM271" s="5">
        <f t="shared" si="15"/>
        <v>0</v>
      </c>
      <c r="CN271" s="5">
        <f t="shared" si="15"/>
        <v>0</v>
      </c>
      <c r="CO271" s="5">
        <f t="shared" si="15"/>
        <v>0</v>
      </c>
      <c r="CP271" s="5">
        <f>CP267</f>
        <v>0</v>
      </c>
      <c r="CQ271" s="5">
        <f>CQ267</f>
        <v>0</v>
      </c>
      <c r="CR271" s="5">
        <f t="shared" ref="CR271:EH271" si="16">CR267</f>
        <v>0</v>
      </c>
      <c r="CS271" s="5">
        <f t="shared" si="16"/>
        <v>0</v>
      </c>
      <c r="CT271" s="5">
        <f t="shared" si="16"/>
        <v>0</v>
      </c>
      <c r="CU271" s="5">
        <f t="shared" si="16"/>
        <v>0</v>
      </c>
      <c r="CV271" s="5">
        <f t="shared" si="16"/>
        <v>0</v>
      </c>
      <c r="CW271" s="5">
        <f t="shared" si="16"/>
        <v>0</v>
      </c>
      <c r="CX271" s="5">
        <f t="shared" si="16"/>
        <v>0</v>
      </c>
      <c r="CY271" s="5">
        <f t="shared" si="16"/>
        <v>0</v>
      </c>
      <c r="CZ271" s="5">
        <f t="shared" si="16"/>
        <v>0</v>
      </c>
      <c r="DA271" s="5">
        <f t="shared" si="16"/>
        <v>0</v>
      </c>
      <c r="DB271" s="5">
        <f t="shared" si="16"/>
        <v>0</v>
      </c>
      <c r="DC271" s="5">
        <f t="shared" si="16"/>
        <v>0</v>
      </c>
      <c r="DD271" s="5">
        <f t="shared" si="16"/>
        <v>0</v>
      </c>
      <c r="DE271" s="5">
        <f t="shared" si="16"/>
        <v>0</v>
      </c>
      <c r="DF271" s="5">
        <f t="shared" si="16"/>
        <v>0</v>
      </c>
      <c r="DG271" s="5">
        <f t="shared" si="16"/>
        <v>0</v>
      </c>
      <c r="DH271" s="5">
        <f t="shared" si="16"/>
        <v>0</v>
      </c>
      <c r="DI271" s="5">
        <f t="shared" si="16"/>
        <v>0</v>
      </c>
      <c r="DJ271" s="5">
        <f t="shared" si="16"/>
        <v>0</v>
      </c>
      <c r="DK271" s="5">
        <f t="shared" si="16"/>
        <v>299460.5</v>
      </c>
      <c r="DL271" s="5">
        <f t="shared" si="16"/>
        <v>311491.66666666669</v>
      </c>
      <c r="DM271" s="5">
        <f t="shared" si="16"/>
        <v>314850.33333333337</v>
      </c>
      <c r="DN271" s="5">
        <f t="shared" si="16"/>
        <v>320191.58333333337</v>
      </c>
      <c r="DO271" s="5">
        <f t="shared" si="16"/>
        <v>325538.16666666669</v>
      </c>
      <c r="DP271" s="5">
        <f t="shared" si="16"/>
        <v>327802.08333333337</v>
      </c>
      <c r="DQ271" s="5">
        <f t="shared" si="16"/>
        <v>333619.58333333337</v>
      </c>
      <c r="DR271" s="5">
        <f t="shared" si="16"/>
        <v>340313.91666666669</v>
      </c>
      <c r="DS271" s="5">
        <f t="shared" si="16"/>
        <v>342810.16666666669</v>
      </c>
      <c r="DT271" s="5">
        <f t="shared" si="16"/>
        <v>402162.83333333337</v>
      </c>
      <c r="DU271" s="5">
        <f t="shared" si="16"/>
        <v>404737.16666666669</v>
      </c>
      <c r="DV271" s="5">
        <f t="shared" si="16"/>
        <v>415524.25</v>
      </c>
      <c r="DW271" s="5">
        <f t="shared" si="16"/>
        <v>419616.75</v>
      </c>
      <c r="DX271" s="5">
        <f t="shared" si="16"/>
        <v>442167.5</v>
      </c>
      <c r="DY271" s="5">
        <f t="shared" si="16"/>
        <v>454787.5</v>
      </c>
      <c r="DZ271" s="5">
        <f t="shared" si="16"/>
        <v>457053.16666666669</v>
      </c>
      <c r="EA271" s="5">
        <f t="shared" si="16"/>
        <v>460381.83333333337</v>
      </c>
      <c r="EB271" s="5">
        <f t="shared" si="16"/>
        <v>495421.25</v>
      </c>
      <c r="EC271" s="5">
        <f t="shared" si="16"/>
        <v>495035.75</v>
      </c>
      <c r="ED271" s="5">
        <f t="shared" si="16"/>
        <v>500854.41666666669</v>
      </c>
      <c r="EE271" s="5">
        <f t="shared" si="16"/>
        <v>546340.00000000012</v>
      </c>
      <c r="EF271" s="5">
        <f t="shared" si="16"/>
        <v>524921.83333333349</v>
      </c>
      <c r="EG271" s="5">
        <f t="shared" si="16"/>
        <v>561818.58333333349</v>
      </c>
      <c r="EH271" s="5">
        <f t="shared" si="16"/>
        <v>590623.00000000012</v>
      </c>
    </row>
    <row r="272" spans="3:140" customFormat="1" x14ac:dyDescent="0.25">
      <c r="D272" s="5" t="s">
        <v>10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>
        <f t="shared" ref="BH272:CP272" si="17">BH270-AV270</f>
        <v>0</v>
      </c>
      <c r="BI272" s="5">
        <f t="shared" si="17"/>
        <v>0</v>
      </c>
      <c r="BJ272" s="5">
        <f t="shared" si="17"/>
        <v>0</v>
      </c>
      <c r="BK272" s="5">
        <f t="shared" si="17"/>
        <v>0</v>
      </c>
      <c r="BL272" s="5">
        <f t="shared" si="17"/>
        <v>0</v>
      </c>
      <c r="BM272" s="5">
        <f t="shared" si="17"/>
        <v>0</v>
      </c>
      <c r="BN272" s="5">
        <f t="shared" si="17"/>
        <v>0</v>
      </c>
      <c r="BO272" s="5">
        <f>BO270-BC270</f>
        <v>0</v>
      </c>
      <c r="BP272" s="5">
        <f>BP270-BD270</f>
        <v>0</v>
      </c>
      <c r="BQ272" s="5">
        <f>BQ270-BE270</f>
        <v>0</v>
      </c>
      <c r="BR272" s="5">
        <f>BR270-BF270</f>
        <v>0</v>
      </c>
      <c r="BS272" s="5">
        <f>BS270-BG270</f>
        <v>0</v>
      </c>
      <c r="BT272" s="5">
        <f>BT270-BH270</f>
        <v>0</v>
      </c>
      <c r="BU272" s="5">
        <f>BU270-BI270</f>
        <v>0</v>
      </c>
      <c r="BV272" s="5">
        <f>BV270-BJ270</f>
        <v>0</v>
      </c>
      <c r="BW272" s="5">
        <f>BW270-BK270</f>
        <v>0</v>
      </c>
      <c r="BX272" s="5">
        <f>BX270-BL270</f>
        <v>0</v>
      </c>
      <c r="BY272" s="5">
        <f>BY270-BM270</f>
        <v>0</v>
      </c>
      <c r="BZ272" s="5">
        <f>BZ270-BN270</f>
        <v>0</v>
      </c>
      <c r="CA272" s="5">
        <f t="shared" si="17"/>
        <v>0</v>
      </c>
      <c r="CB272" s="5">
        <f t="shared" si="17"/>
        <v>0</v>
      </c>
      <c r="CC272" s="5">
        <f t="shared" si="17"/>
        <v>0</v>
      </c>
      <c r="CD272" s="5">
        <f t="shared" si="17"/>
        <v>0</v>
      </c>
      <c r="CE272" s="5">
        <f t="shared" si="17"/>
        <v>0</v>
      </c>
      <c r="CF272" s="5">
        <f t="shared" si="17"/>
        <v>0</v>
      </c>
      <c r="CG272" s="5">
        <f t="shared" si="17"/>
        <v>0</v>
      </c>
      <c r="CH272" s="5">
        <f t="shared" si="17"/>
        <v>0</v>
      </c>
      <c r="CI272" s="5">
        <f t="shared" si="17"/>
        <v>0</v>
      </c>
      <c r="CJ272" s="5">
        <f t="shared" si="17"/>
        <v>0</v>
      </c>
      <c r="CK272" s="5">
        <f t="shared" si="17"/>
        <v>0</v>
      </c>
      <c r="CL272" s="5">
        <f t="shared" si="17"/>
        <v>0</v>
      </c>
      <c r="CM272" s="5">
        <f t="shared" si="17"/>
        <v>0</v>
      </c>
      <c r="CN272" s="5">
        <f t="shared" si="17"/>
        <v>0</v>
      </c>
      <c r="CO272" s="5">
        <f t="shared" si="17"/>
        <v>0</v>
      </c>
      <c r="CP272" s="5">
        <f t="shared" si="17"/>
        <v>0</v>
      </c>
      <c r="CQ272" s="5">
        <f>CQ270-CE270</f>
        <v>0</v>
      </c>
      <c r="CR272" s="5">
        <f t="shared" ref="CR272:EH272" si="18">CR270-CF270</f>
        <v>0</v>
      </c>
      <c r="CS272" s="5">
        <f t="shared" si="18"/>
        <v>0</v>
      </c>
      <c r="CT272" s="5">
        <f t="shared" si="18"/>
        <v>0</v>
      </c>
      <c r="CU272" s="5">
        <f t="shared" si="18"/>
        <v>0</v>
      </c>
      <c r="CV272" s="5">
        <f t="shared" si="18"/>
        <v>0</v>
      </c>
      <c r="CW272" s="5">
        <f t="shared" si="18"/>
        <v>0</v>
      </c>
      <c r="CX272" s="5">
        <f t="shared" si="18"/>
        <v>0</v>
      </c>
      <c r="CY272" s="5">
        <f t="shared" si="18"/>
        <v>0</v>
      </c>
      <c r="CZ272" s="5">
        <f t="shared" si="18"/>
        <v>0</v>
      </c>
      <c r="DA272" s="5">
        <f t="shared" si="18"/>
        <v>0</v>
      </c>
      <c r="DB272" s="5">
        <f t="shared" si="18"/>
        <v>0</v>
      </c>
      <c r="DC272" s="5">
        <f t="shared" si="18"/>
        <v>0</v>
      </c>
      <c r="DD272" s="5">
        <f t="shared" si="18"/>
        <v>0</v>
      </c>
      <c r="DE272" s="5">
        <f t="shared" si="18"/>
        <v>0</v>
      </c>
      <c r="DF272" s="5">
        <f t="shared" si="18"/>
        <v>0</v>
      </c>
      <c r="DG272" s="5">
        <f t="shared" si="18"/>
        <v>0</v>
      </c>
      <c r="DH272" s="5">
        <f t="shared" si="18"/>
        <v>0</v>
      </c>
      <c r="DI272" s="5">
        <f t="shared" si="18"/>
        <v>0</v>
      </c>
      <c r="DJ272" s="5">
        <f t="shared" si="18"/>
        <v>0</v>
      </c>
      <c r="DK272" s="5">
        <f t="shared" si="18"/>
        <v>3593526</v>
      </c>
      <c r="DL272" s="5">
        <f t="shared" si="18"/>
        <v>3737900</v>
      </c>
      <c r="DM272" s="5">
        <f t="shared" si="18"/>
        <v>3778204.0000000005</v>
      </c>
      <c r="DN272" s="5">
        <f t="shared" si="18"/>
        <v>3842299.0000000005</v>
      </c>
      <c r="DO272" s="5">
        <f t="shared" si="18"/>
        <v>3906458</v>
      </c>
      <c r="DP272" s="5">
        <f t="shared" si="18"/>
        <v>3933625.0000000005</v>
      </c>
      <c r="DQ272" s="5">
        <f t="shared" si="18"/>
        <v>4003435.0000000005</v>
      </c>
      <c r="DR272" s="5">
        <f t="shared" si="18"/>
        <v>4083767</v>
      </c>
      <c r="DS272" s="5">
        <f t="shared" si="18"/>
        <v>4113722</v>
      </c>
      <c r="DT272" s="5">
        <f t="shared" si="18"/>
        <v>4825954</v>
      </c>
      <c r="DU272" s="5">
        <f t="shared" si="18"/>
        <v>4856846</v>
      </c>
      <c r="DV272" s="5">
        <f t="shared" si="18"/>
        <v>4986291</v>
      </c>
      <c r="DW272" s="5">
        <f t="shared" si="18"/>
        <v>1441875</v>
      </c>
      <c r="DX272" s="5">
        <f t="shared" si="18"/>
        <v>1568110</v>
      </c>
      <c r="DY272" s="5">
        <f t="shared" si="18"/>
        <v>1679245.9999999995</v>
      </c>
      <c r="DZ272" s="5">
        <f t="shared" si="18"/>
        <v>1642338.9999999995</v>
      </c>
      <c r="EA272" s="5">
        <f t="shared" si="18"/>
        <v>1618124</v>
      </c>
      <c r="EB272" s="5">
        <f t="shared" si="18"/>
        <v>2011429.9999999995</v>
      </c>
      <c r="EC272" s="5">
        <f t="shared" si="18"/>
        <v>1936993.9999999995</v>
      </c>
      <c r="ED272" s="5">
        <f t="shared" si="18"/>
        <v>1926486</v>
      </c>
      <c r="EE272" s="5">
        <f t="shared" si="18"/>
        <v>2442358.0000000019</v>
      </c>
      <c r="EF272" s="5">
        <f t="shared" si="18"/>
        <v>1473108.0000000019</v>
      </c>
      <c r="EG272" s="5">
        <f t="shared" si="18"/>
        <v>1884977.0000000019</v>
      </c>
      <c r="EH272" s="5">
        <f t="shared" si="18"/>
        <v>2101185.0000000019</v>
      </c>
    </row>
    <row r="273" spans="4:138" customFormat="1" x14ac:dyDescent="0.25">
      <c r="D273" s="5" t="s">
        <v>11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4" t="str">
        <f t="shared" ref="DK273:EE273" si="19">IF(ISERROR(DK271/CY271-1),"---",DK271/CY271-1)</f>
        <v>---</v>
      </c>
      <c r="DL273" s="14" t="str">
        <f t="shared" si="19"/>
        <v>---</v>
      </c>
      <c r="DM273" s="14" t="str">
        <f t="shared" si="19"/>
        <v>---</v>
      </c>
      <c r="DN273" s="14" t="str">
        <f t="shared" si="19"/>
        <v>---</v>
      </c>
      <c r="DO273" s="14" t="str">
        <f t="shared" si="19"/>
        <v>---</v>
      </c>
      <c r="DP273" s="14" t="str">
        <f t="shared" si="19"/>
        <v>---</v>
      </c>
      <c r="DQ273" s="14" t="str">
        <f t="shared" si="19"/>
        <v>---</v>
      </c>
      <c r="DR273" s="14" t="str">
        <f t="shared" si="19"/>
        <v>---</v>
      </c>
      <c r="DS273" s="14" t="str">
        <f t="shared" si="19"/>
        <v>---</v>
      </c>
      <c r="DT273" s="14" t="str">
        <f t="shared" si="19"/>
        <v>---</v>
      </c>
      <c r="DU273" s="14" t="str">
        <f t="shared" si="19"/>
        <v>---</v>
      </c>
      <c r="DV273" s="14" t="str">
        <f t="shared" si="19"/>
        <v>---</v>
      </c>
      <c r="DW273" s="14">
        <f t="shared" si="19"/>
        <v>0.40124240091765029</v>
      </c>
      <c r="DX273" s="14">
        <f t="shared" si="19"/>
        <v>0.41951630594718958</v>
      </c>
      <c r="DY273" s="14">
        <f t="shared" si="19"/>
        <v>0.4444561490062473</v>
      </c>
      <c r="DZ273" s="14">
        <f t="shared" si="19"/>
        <v>0.4274365425491351</v>
      </c>
      <c r="EA273" s="14">
        <f t="shared" si="19"/>
        <v>0.41421768773656353</v>
      </c>
      <c r="EB273" s="14">
        <f t="shared" si="19"/>
        <v>0.51134259112142089</v>
      </c>
      <c r="EC273" s="14">
        <f t="shared" si="19"/>
        <v>0.48383300840403276</v>
      </c>
      <c r="ED273" s="14">
        <f t="shared" si="19"/>
        <v>0.47174238882874553</v>
      </c>
      <c r="EE273" s="14">
        <f t="shared" si="19"/>
        <v>0.59371002707523779</v>
      </c>
      <c r="EF273" s="14">
        <f>IF(ISERROR(EF271/DT271-1),"---",EF271/DT271-1)</f>
        <v>0.30524700401205673</v>
      </c>
      <c r="EG273" s="14">
        <f>IF(ISERROR(EG271/DU271-1),"---",EG271/DU271-1)</f>
        <v>0.38810722020010546</v>
      </c>
      <c r="EH273" s="14">
        <f>IF(ISERROR(EH271/DV271-1),"---",EH271/DV271-1)</f>
        <v>0.42139237360996407</v>
      </c>
    </row>
    <row r="274" spans="4:138" customFormat="1" x14ac:dyDescent="0.25">
      <c r="D274" s="5" t="s">
        <v>12</v>
      </c>
      <c r="E274" s="5"/>
      <c r="F274" s="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>
        <f t="array" ref="DK274">MAX(IF(DK5:DK260&gt;0,1,0)*IF(DJ5:DJ260=0,1,0)*DK5:DK260)</f>
        <v>159690.41666666666</v>
      </c>
      <c r="DL274" s="15">
        <f t="array" ref="DL274">MAX(IF(DL5:DL260&gt;0,1,0)*IF(DK5:DK260=0,1,0)*DL5:DL260)</f>
        <v>9487.5</v>
      </c>
      <c r="DM274" s="15">
        <f t="array" ref="DM274">MAX(IF(DM5:DM260&gt;0,1,0)*IF(DL5:DL260=0,1,0)*DM5:DM260)</f>
        <v>840</v>
      </c>
      <c r="DN274" s="15">
        <f t="array" ref="DN274">MAX(IF(DN5:DN260&gt;0,1,0)*IF(DM5:DM260=0,1,0)*DN5:DN260)</f>
        <v>1250</v>
      </c>
      <c r="DO274" s="15">
        <f t="array" ref="DO274">MAX(IF(DO5:DO260&gt;0,1,0)*IF(DN5:DN260=0,1,0)*DO5:DO260)</f>
        <v>3630</v>
      </c>
      <c r="DP274" s="15">
        <f t="array" ref="DP274">MAX(IF(DP5:DP260&gt;0,1,0)*IF(DO5:DO260=0,1,0)*DP5:DP260)</f>
        <v>450</v>
      </c>
      <c r="DQ274" s="15">
        <f t="array" ref="DQ274">MAX(IF(DQ5:DQ260&gt;0,1,0)*IF(DP5:DP260=0,1,0)*DQ5:DQ260)</f>
        <v>1573.6666666666667</v>
      </c>
      <c r="DR274" s="15">
        <f t="array" ref="DR274">MAX(IF(DR5:DR260&gt;0,1,0)*IF(DQ5:DQ260=0,1,0)*DR5:DR260)</f>
        <v>1950</v>
      </c>
      <c r="DS274" s="15">
        <f t="array" ref="DS274">MAX(IF(DS5:DS260&gt;0,1,0)*IF(DR5:DR260=0,1,0)*DS5:DS260)</f>
        <v>3825</v>
      </c>
      <c r="DT274" s="15">
        <f t="array" ref="DT274">MAX(IF(DT5:DT260&gt;0,1,0)*IF(DS5:DS260=0,1,0)*DT5:DT260)</f>
        <v>41500</v>
      </c>
      <c r="DU274" s="15">
        <f t="array" ref="DU274">MAX(IF(DU5:DU260&gt;0,1,0)*IF(DT5:DT260=0,1,0)*DU5:DU260)</f>
        <v>1250</v>
      </c>
      <c r="DV274" s="15">
        <f t="array" ref="DV274">MAX(IF(DV5:DV260&gt;0,1,0)*IF(DU5:DU260=0,1,0)*DV5:DV260)</f>
        <v>1761</v>
      </c>
      <c r="DW274" s="15">
        <f t="array" ref="DW274">MAX(IF(DW5:DW260&gt;0,1,0)*IF(DV5:DV260=0,1,0)*DW5:DW260)</f>
        <v>1250</v>
      </c>
      <c r="DX274" s="15">
        <f t="array" ref="DX274">MAX(IF(DX5:DX260&gt;0,1,0)*IF(DW5:DW260=0,1,0)*DX5:DX260)</f>
        <v>21375</v>
      </c>
      <c r="DY274" s="15">
        <f t="array" ref="DY274">MAX(IF(DY5:DY260&gt;0,1,0)*IF(DX5:DX260=0,1,0)*DY5:DY260)</f>
        <v>6175</v>
      </c>
      <c r="DZ274" s="15">
        <f t="array" ref="DZ274">MAX(IF(DZ5:DZ260&gt;0,1,0)*IF(DY5:DY260=0,1,0)*DZ5:DZ260)</f>
        <v>0</v>
      </c>
      <c r="EA274" s="15">
        <f t="array" ref="EA274">MAX(IF(EA5:EA260&gt;0,1,0)*IF(DZ5:DZ260=0,1,0)*EA5:EA260)</f>
        <v>1950</v>
      </c>
      <c r="EB274" s="15">
        <f t="array" ref="EB274">MAX(IF(EB5:EB260&gt;0,1,0)*IF(EA5:EA260=0,1,0)*EB5:EB260)</f>
        <v>8060</v>
      </c>
      <c r="EC274" s="15">
        <f t="array" ref="EC274">MAX(IF(EC5:EC260&gt;0,1,0)*IF(EB5:EB260=0,1,0)*EC5:EC260)</f>
        <v>0</v>
      </c>
      <c r="ED274" s="15">
        <f t="array" ref="ED274">MAX(IF(ED5:ED260&gt;0,1,0)*IF(EC5:EC260=0,1,0)*ED5:ED260)</f>
        <v>2083</v>
      </c>
      <c r="EE274" s="15">
        <f t="array" ref="EE274">MAX(IF(EE5:EE260&gt;0,1,0)*IF(ED5:ED260=0,1,0)*EE5:EE260)</f>
        <v>10661.5</v>
      </c>
      <c r="EF274" s="15">
        <f t="array" ref="EF274">MAX(IF(EF5:EF260&gt;0,1,0)*IF(EE5:EE260=0,1,0)*EF5:EF260)</f>
        <v>2294.6666666666665</v>
      </c>
      <c r="EG274" s="15">
        <f t="array" ref="EG274">MAX(IF(EG5:EG260&gt;0,1,0)*IF(EF5:EF260=0,1,0)*EG5:EG260)</f>
        <v>10000</v>
      </c>
      <c r="EH274" s="15">
        <f t="array" ref="EH274">MAX(IF(EH5:EH260&gt;0,1,0)*IF(EG5:EG260=0,1,0)*EH5:EH260)</f>
        <v>10661.5</v>
      </c>
    </row>
    <row r="275" spans="4:138" customFormat="1" x14ac:dyDescent="0.25">
      <c r="D275" s="5" t="s">
        <v>13</v>
      </c>
      <c r="E275" s="5"/>
      <c r="F275" s="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>
        <f t="array" ref="DK275">IF(ISERROR(SUM(IF(DK5:DK260&gt;0,1,0)*IF(DJ5:DJ260=0,1,0)*DK5:DK260)/SUM(IF(DK5:DK260&gt;0,1,0)*IF(DJ5:DJ260=0,1,0))),"---",
SUM(IF(DK5:DK260&gt;0,1,0)*IF(DJ5:DJ260=0,1,0)*DK5:DK260)/SUM(IF(DK5:DK260&gt;0,1,0)*IF(DJ5:DJ260=0,1,0)))</f>
        <v>4217.7535211267605</v>
      </c>
      <c r="DL275" s="15">
        <f t="array" ref="DL275">IF(ISERROR(SUM(IF(DL5:DL260&gt;0,1,0)*IF(DK5:DK260=0,1,0)*DL5:DL260)/SUM(IF(DL5:DL260&gt;0,1,0)*IF(DK5:DK260=0,1,0))),"---",
SUM(IF(DL5:DL260&gt;0,1,0)*IF(DK5:DK260=0,1,0)*DL5:DL260)/SUM(IF(DL5:DL260&gt;0,1,0)*IF(DK5:DK260=0,1,0)))</f>
        <v>2366.833333333333</v>
      </c>
      <c r="DM275" s="15">
        <f t="array" ref="DM275">IF(ISERROR(SUM(IF(DM5:DM260&gt;0,1,0)*IF(DL5:DL260=0,1,0)*DM5:DM260)/SUM(IF(DM5:DM260&gt;0,1,0)*IF(DL5:DL260=0,1,0))),"---",
SUM(IF(DM5:DM260&gt;0,1,0)*IF(DL5:DL260=0,1,0)*DM5:DM260)/SUM(IF(DM5:DM260&gt;0,1,0)*IF(DL5:DL260=0,1,0)))</f>
        <v>604.375</v>
      </c>
      <c r="DN275" s="15">
        <f t="array" ref="DN275">IF(ISERROR(SUM(IF(DN5:DN260&gt;0,1,0)*IF(DM5:DM260=0,1,0)*DN5:DN260)/SUM(IF(DN5:DN260&gt;0,1,0)*IF(DM5:DM260=0,1,0))),"---",
SUM(IF(DN5:DN260&gt;0,1,0)*IF(DM5:DM260=0,1,0)*DN5:DN260)/SUM(IF(DN5:DN260&gt;0,1,0)*IF(DM5:DM260=0,1,0)))</f>
        <v>650</v>
      </c>
      <c r="DO275" s="15">
        <f t="array" ref="DO275">IF(ISERROR(SUM(IF(DO5:DO260&gt;0,1,0)*IF(DN5:DN260=0,1,0)*DO5:DO260)/SUM(IF(DO5:DO260&gt;0,1,0)*IF(DN5:DN260=0,1,0))),"---",
SUM(IF(DO5:DO260&gt;0,1,0)*IF(DN5:DN260=0,1,0)*DO5:DO260)/SUM(IF(DO5:DO260&gt;0,1,0)*IF(DN5:DN260=0,1,0)))</f>
        <v>1309.5</v>
      </c>
      <c r="DP275" s="15">
        <f t="array" ref="DP275">IF(ISERROR(SUM(IF(DP5:DP260&gt;0,1,0)*IF(DO5:DO260=0,1,0)*DP5:DP260)/SUM(IF(DP5:DP260&gt;0,1,0)*IF(DO5:DO260=0,1,0))),"---",
SUM(IF(DP5:DP260&gt;0,1,0)*IF(DO5:DO260=0,1,0)*DP5:DP260)/SUM(IF(DP5:DP260&gt;0,1,0)*IF(DO5:DO260=0,1,0)))</f>
        <v>450</v>
      </c>
      <c r="DQ275" s="15">
        <f t="array" ref="DQ275">IF(ISERROR(SUM(IF(DQ5:DQ260&gt;0,1,0)*IF(DP5:DP260=0,1,0)*DQ5:DQ260)/SUM(IF(DQ5:DQ260&gt;0,1,0)*IF(DP5:DP260=0,1,0))),"---",
SUM(IF(DQ5:DQ260&gt;0,1,0)*IF(DP5:DP260=0,1,0)*DQ5:DQ260)/SUM(IF(DQ5:DQ260&gt;0,1,0)*IF(DP5:DP260=0,1,0)))</f>
        <v>632.27777777777783</v>
      </c>
      <c r="DR275" s="15">
        <f t="array" ref="DR275">IF(ISERROR(SUM(IF(DR5:DR260&gt;0,1,0)*IF(DQ5:DQ260=0,1,0)*DR5:DR260)/SUM(IF(DR5:DR260&gt;0,1,0)*IF(DQ5:DQ260=0,1,0))),"---",
SUM(IF(DR5:DR260&gt;0,1,0)*IF(DQ5:DQ260=0,1,0)*DR5:DR260)/SUM(IF(DR5:DR260&gt;0,1,0)*IF(DQ5:DQ260=0,1,0)))</f>
        <v>857.14285714285711</v>
      </c>
      <c r="DS275" s="15">
        <f t="array" ref="DS275">IF(ISERROR(SUM(IF(DS5:DS260&gt;0,1,0)*IF(DR5:DR260=0,1,0)*DS5:DS260)/SUM(IF(DS5:DS260&gt;0,1,0)*IF(DR5:DR260=0,1,0))),"---",
SUM(IF(DS5:DS260&gt;0,1,0)*IF(DR5:DR260=0,1,0)*DS5:DS260)/SUM(IF(DS5:DS260&gt;0,1,0)*IF(DR5:DR260=0,1,0)))</f>
        <v>1933</v>
      </c>
      <c r="DT275" s="15">
        <f t="array" ref="DT275">IF(ISERROR(SUM(IF(DT5:DT260&gt;0,1,0)*IF(DS5:DS260=0,1,0)*DT5:DT260)/SUM(IF(DT5:DT260&gt;0,1,0)*IF(DS5:DS260=0,1,0))),"---",
SUM(IF(DT5:DT260&gt;0,1,0)*IF(DS5:DS260=0,1,0)*DT5:DT260)/SUM(IF(DT5:DT260&gt;0,1,0)*IF(DS5:DS260=0,1,0)))</f>
        <v>21725</v>
      </c>
      <c r="DU275" s="15">
        <f t="array" ref="DU275">IF(ISERROR(SUM(IF(DU5:DU260&gt;0,1,0)*IF(DT5:DT260=0,1,0)*DU5:DU260)/SUM(IF(DU5:DU260&gt;0,1,0)*IF(DT5:DT260=0,1,0))),"---",
SUM(IF(DU5:DU260&gt;0,1,0)*IF(DT5:DT260=0,1,0)*DU5:DU260)/SUM(IF(DU5:DU260&gt;0,1,0)*IF(DT5:DT260=0,1,0)))</f>
        <v>1232.5</v>
      </c>
      <c r="DV275" s="15">
        <f t="array" ref="DV275">IF(ISERROR(SUM(IF(DV5:DV260&gt;0,1,0)*IF(DU5:DU260=0,1,0)*DV5:DV260)/SUM(IF(DV5:DV260&gt;0,1,0)*IF(DU5:DU260=0,1,0))),"---",
SUM(IF(DV5:DV260&gt;0,1,0)*IF(DU5:DU260=0,1,0)*DV5:DV260)/SUM(IF(DV5:DV260&gt;0,1,0)*IF(DU5:DU260=0,1,0)))</f>
        <v>1761</v>
      </c>
      <c r="DW275" s="15">
        <f t="array" ref="DW275">IF(ISERROR(SUM(IF(DW5:DW260&gt;0,1,0)*IF(DV5:DV260=0,1,0)*DW5:DW260)/SUM(IF(DW5:DW260&gt;0,1,0)*IF(DV5:DV260=0,1,0))),"---",
SUM(IF(DW5:DW260&gt;0,1,0)*IF(DV5:DV260=0,1,0)*DW5:DW260)/SUM(IF(DW5:DW260&gt;0,1,0)*IF(DV5:DV260=0,1,0)))</f>
        <v>875</v>
      </c>
      <c r="DX275" s="15">
        <f t="array" ref="DX275">IF(ISERROR(SUM(IF(DX5:DX260&gt;0,1,0)*IF(DW5:DW260=0,1,0)*DX5:DX260)/SUM(IF(DX5:DX260&gt;0,1,0)*IF(DW5:DW260=0,1,0))),"---",
SUM(IF(DX5:DX260&gt;0,1,0)*IF(DW5:DW260=0,1,0)*DX5:DX260)/SUM(IF(DX5:DX260&gt;0,1,0)*IF(DW5:DW260=0,1,0)))</f>
        <v>12733.333333333334</v>
      </c>
      <c r="DY275" s="15">
        <f t="array" ref="DY275">IF(ISERROR(SUM(IF(DY5:DY260&gt;0,1,0)*IF(DX5:DX260=0,1,0)*DY5:DY260)/SUM(IF(DY5:DY260&gt;0,1,0)*IF(DX5:DX260=0,1,0))),"---",
SUM(IF(DY5:DY260&gt;0,1,0)*IF(DX5:DX260=0,1,0)*DY5:DY260)/SUM(IF(DY5:DY260&gt;0,1,0)*IF(DX5:DX260=0,1,0)))</f>
        <v>2785.8</v>
      </c>
      <c r="DZ275" s="15" t="str">
        <f t="array" ref="DZ275">IF(ISERROR(SUM(IF(DZ5:DZ260&gt;0,1,0)*IF(DY5:DY260=0,1,0)*DZ5:DZ260)/SUM(IF(DZ5:DZ260&gt;0,1,0)*IF(DY5:DY260=0,1,0))),"---",
SUM(IF(DZ5:DZ260&gt;0,1,0)*IF(DY5:DY260=0,1,0)*DZ5:DZ260)/SUM(IF(DZ5:DZ260&gt;0,1,0)*IF(DY5:DY260=0,1,0)))</f>
        <v>---</v>
      </c>
      <c r="EA275" s="15">
        <f t="array" ref="EA275">IF(ISERROR(SUM(IF(EA5:EA260&gt;0,1,0)*IF(DZ5:DZ260=0,1,0)*EA5:EA260)/SUM(IF(EA5:EA260&gt;0,1,0)*IF(DZ5:DZ260=0,1,0))),"---",
SUM(IF(EA5:EA260&gt;0,1,0)*IF(DZ5:DZ260=0,1,0)*EA5:EA260)/SUM(IF(EA5:EA260&gt;0,1,0)*IF(DZ5:DZ260=0,1,0)))</f>
        <v>1525</v>
      </c>
      <c r="EB275" s="15">
        <f t="array" ref="EB275">IF(ISERROR(SUM(IF(EB5:EB260&gt;0,1,0)*IF(EA5:EA260=0,1,0)*EB5:EB260)/SUM(IF(EB5:EB260&gt;0,1,0)*IF(EA5:EA260=0,1,0))),"---",
SUM(IF(EB5:EB260&gt;0,1,0)*IF(EA5:EA260=0,1,0)*EB5:EB260)/SUM(IF(EB5:EB260&gt;0,1,0)*IF(EA5:EA260=0,1,0)))</f>
        <v>3209.8888888888887</v>
      </c>
      <c r="EC275" s="15" t="str">
        <f t="array" ref="EC275">IF(ISERROR(SUM(IF(EC5:EC260&gt;0,1,0)*IF(EB5:EB260=0,1,0)*EC5:EC260)/SUM(IF(EC5:EC260&gt;0,1,0)*IF(EB5:EB260=0,1,0))),"---",
SUM(IF(EC5:EC260&gt;0,1,0)*IF(EB5:EB260=0,1,0)*EC5:EC260)/SUM(IF(EC5:EC260&gt;0,1,0)*IF(EB5:EB260=0,1,0)))</f>
        <v>---</v>
      </c>
      <c r="ED275" s="15">
        <f t="array" ref="ED275">IF(ISERROR(SUM(IF(ED5:ED260&gt;0,1,0)*IF(EC5:EC260=0,1,0)*ED5:ED260)/SUM(IF(ED5:ED260&gt;0,1,0)*IF(EC5:EC260=0,1,0))),"---",
SUM(IF(ED5:ED260&gt;0,1,0)*IF(EC5:EC260=0,1,0)*ED5:ED260)/SUM(IF(ED5:ED260&gt;0,1,0)*IF(EC5:EC260=0,1,0)))</f>
        <v>2036</v>
      </c>
      <c r="EE275" s="15">
        <f t="array" ref="EE275">IF(ISERROR(SUM(IF(EE5:EE260&gt;0,1,0)*IF(ED5:ED260=0,1,0)*EE5:EE260)/SUM(IF(EE5:EE260&gt;0,1,0)*IF(ED5:ED260=0,1,0))),"---",
SUM(IF(EE5:EE260&gt;0,1,0)*IF(ED5:ED260=0,1,0)*EE5:EE260)/SUM(IF(EE5:EE260&gt;0,1,0)*IF(ED5:ED260=0,1,0)))</f>
        <v>4415.291666666667</v>
      </c>
      <c r="EF275" s="15">
        <f t="array" ref="EF275">IF(ISERROR(SUM(IF(EF5:EF260&gt;0,1,0)*IF(EE5:EE260=0,1,0)*EF5:EF260)/SUM(IF(EF5:EF260&gt;0,1,0)*IF(EE5:EE260=0,1,0))),"---",
SUM(IF(EF5:EF260&gt;0,1,0)*IF(EE5:EE260=0,1,0)*EF5:EF260)/SUM(IF(EF5:EF260&gt;0,1,0)*IF(EE5:EE260=0,1,0)))</f>
        <v>2294.6666666666665</v>
      </c>
      <c r="EG275" s="15">
        <f t="array" ref="EG275">IF(ISERROR(SUM(IF(EG5:EG260&gt;0,1,0)*IF(EF5:EF260=0,1,0)*EG5:EG260)/SUM(IF(EG5:EG260&gt;0,1,0)*IF(EF5:EF260=0,1,0))),"---",
SUM(IF(EG5:EG260&gt;0,1,0)*IF(EF5:EF260=0,1,0)*EG5:EG260)/SUM(IF(EG5:EG260&gt;0,1,0)*IF(EF5:EF260=0,1,0)))</f>
        <v>5299.5714285714284</v>
      </c>
      <c r="EH275" s="15">
        <f t="array" ref="EH275">IF(ISERROR(SUM(IF(EH5:EH260&gt;0,1,0)*IF(EG5:EG260=0,1,0)*EH5:EH260)/SUM(IF(EH5:EH260&gt;0,1,0)*IF(EG5:EG260=0,1,0))),"---",
SUM(IF(EH5:EH260&gt;0,1,0)*IF(EG5:EG260=0,1,0)*EH5:EH260)/SUM(IF(EH5:EH260&gt;0,1,0)*IF(EG5:EG260=0,1,0)))</f>
        <v>4687.0833333333339</v>
      </c>
    </row>
    <row r="276" spans="4:138" customFormat="1" x14ac:dyDescent="0.25"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</row>
    <row r="277" spans="4:138" customFormat="1" x14ac:dyDescent="0.25">
      <c r="D277" s="12" t="s">
        <v>14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</row>
    <row r="278" spans="4:138" customFormat="1" x14ac:dyDescent="0.25">
      <c r="D278" s="5" t="s">
        <v>15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>
        <f>SUM(DK264:DK266)</f>
        <v>0</v>
      </c>
      <c r="DL278" s="5">
        <f>SUM(DL264:DL266)</f>
        <v>197</v>
      </c>
      <c r="DM278" s="5">
        <f>SUM(DM264:DM266)</f>
        <v>941.16666666666652</v>
      </c>
      <c r="DN278" s="5">
        <f t="shared" ref="DN278:EH278" si="20">SUM(DN264:DN266)</f>
        <v>2741.2500000000095</v>
      </c>
      <c r="DO278" s="5">
        <f t="shared" si="20"/>
        <v>-1200.916666666667</v>
      </c>
      <c r="DP278" s="5">
        <f t="shared" si="20"/>
        <v>13.91666666666697</v>
      </c>
      <c r="DQ278" s="5">
        <f t="shared" si="20"/>
        <v>2023.833333333323</v>
      </c>
      <c r="DR278" s="5">
        <f t="shared" si="20"/>
        <v>694.33333333333394</v>
      </c>
      <c r="DS278" s="5">
        <f t="shared" si="20"/>
        <v>-7168.75</v>
      </c>
      <c r="DT278" s="5">
        <f t="shared" si="20"/>
        <v>15902.666666666664</v>
      </c>
      <c r="DU278" s="5">
        <f t="shared" si="20"/>
        <v>109.33333333333303</v>
      </c>
      <c r="DV278" s="5">
        <f t="shared" si="20"/>
        <v>9026.0833333333339</v>
      </c>
      <c r="DW278" s="5">
        <f t="shared" si="20"/>
        <v>2342.5000000000073</v>
      </c>
      <c r="DX278" s="5">
        <f t="shared" si="20"/>
        <v>-2915.9166666666661</v>
      </c>
      <c r="DY278" s="5">
        <f t="shared" si="20"/>
        <v>-1309</v>
      </c>
      <c r="DZ278" s="5">
        <f t="shared" si="20"/>
        <v>2265.6666666666661</v>
      </c>
      <c r="EA278" s="5">
        <f t="shared" si="20"/>
        <v>-1246.3333333333321</v>
      </c>
      <c r="EB278" s="5">
        <f t="shared" si="20"/>
        <v>6150.4166666666661</v>
      </c>
      <c r="EC278" s="5">
        <f t="shared" si="20"/>
        <v>-385.5</v>
      </c>
      <c r="ED278" s="5">
        <f t="shared" si="20"/>
        <v>-289.33333333333212</v>
      </c>
      <c r="EE278" s="5">
        <f t="shared" si="20"/>
        <v>27824.416666666668</v>
      </c>
      <c r="EF278" s="5">
        <f t="shared" si="20"/>
        <v>-23712.833333333336</v>
      </c>
      <c r="EG278" s="5">
        <f t="shared" si="20"/>
        <v>-200.25</v>
      </c>
      <c r="EH278" s="5">
        <f t="shared" si="20"/>
        <v>681.91666666666606</v>
      </c>
    </row>
    <row r="279" spans="4:138" customFormat="1" x14ac:dyDescent="0.25">
      <c r="D279" s="5" t="s">
        <v>16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 t="str">
        <f t="shared" ref="DK279:EH279" si="21">IF(ISERROR(SUM(CZ264:DK266,CZ262)/CZ262),"---",SUM(CZ264:DK266,CZ262)/CZ262)</f>
        <v>---</v>
      </c>
      <c r="DL279" s="14" t="str">
        <f t="shared" si="21"/>
        <v>---</v>
      </c>
      <c r="DM279" s="14" t="str">
        <f t="shared" si="21"/>
        <v>---</v>
      </c>
      <c r="DN279" s="14" t="str">
        <f t="shared" si="21"/>
        <v>---</v>
      </c>
      <c r="DO279" s="14" t="str">
        <f t="shared" si="21"/>
        <v>---</v>
      </c>
      <c r="DP279" s="14" t="str">
        <f t="shared" si="21"/>
        <v>---</v>
      </c>
      <c r="DQ279" s="14" t="str">
        <f t="shared" si="21"/>
        <v>---</v>
      </c>
      <c r="DR279" s="14" t="str">
        <f t="shared" si="21"/>
        <v>---</v>
      </c>
      <c r="DS279" s="14" t="str">
        <f t="shared" si="21"/>
        <v>---</v>
      </c>
      <c r="DT279" s="14" t="str">
        <f t="shared" si="21"/>
        <v>---</v>
      </c>
      <c r="DU279" s="14" t="str">
        <f t="shared" si="21"/>
        <v>---</v>
      </c>
      <c r="DV279" s="14" t="str">
        <f t="shared" si="21"/>
        <v>---</v>
      </c>
      <c r="DW279" s="14">
        <f t="shared" si="21"/>
        <v>1.0855619244162975</v>
      </c>
      <c r="DX279" s="14">
        <f t="shared" si="21"/>
        <v>1.0722635704539982</v>
      </c>
      <c r="DY279" s="14">
        <f t="shared" si="21"/>
        <v>1.0643459167371587</v>
      </c>
      <c r="DZ279" s="14">
        <f t="shared" si="21"/>
        <v>1.0617872268659987</v>
      </c>
      <c r="EA279" s="14">
        <f t="shared" si="21"/>
        <v>1.0606329314176679</v>
      </c>
      <c r="EB279" s="14">
        <f t="shared" si="21"/>
        <v>1.0789343163112903</v>
      </c>
      <c r="EC279" s="14">
        <f t="shared" si="21"/>
        <v>1.070336098875091</v>
      </c>
      <c r="ED279" s="14">
        <f t="shared" si="21"/>
        <v>1.0660620451656522</v>
      </c>
      <c r="EE279" s="14">
        <f t="shared" si="21"/>
        <v>1.167658388194438</v>
      </c>
      <c r="EF279" s="14">
        <f t="shared" si="21"/>
        <v>1.0444086288431262</v>
      </c>
      <c r="EG279" s="14">
        <f t="shared" si="21"/>
        <v>1.0433612677857194</v>
      </c>
      <c r="EH279" s="14">
        <f t="shared" si="21"/>
        <v>1.0221545433268937</v>
      </c>
    </row>
    <row r="280" spans="4:138" customFormat="1" x14ac:dyDescent="0.25">
      <c r="D280" s="5" t="s">
        <v>17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 t="str">
        <f t="shared" ref="DK280:EH280" si="22">IF(ISERROR(SUM(CZ265:DK266,CZ262)/CZ262),"---",SUM(CZ265:DK266,CZ262)/CZ262)</f>
        <v>---</v>
      </c>
      <c r="DL280" s="14" t="str">
        <f t="shared" si="22"/>
        <v>---</v>
      </c>
      <c r="DM280" s="14" t="str">
        <f t="shared" si="22"/>
        <v>---</v>
      </c>
      <c r="DN280" s="14" t="str">
        <f t="shared" si="22"/>
        <v>---</v>
      </c>
      <c r="DO280" s="14" t="str">
        <f t="shared" si="22"/>
        <v>---</v>
      </c>
      <c r="DP280" s="14" t="str">
        <f t="shared" si="22"/>
        <v>---</v>
      </c>
      <c r="DQ280" s="14" t="str">
        <f t="shared" si="22"/>
        <v>---</v>
      </c>
      <c r="DR280" s="14" t="str">
        <f t="shared" si="22"/>
        <v>---</v>
      </c>
      <c r="DS280" s="14" t="str">
        <f t="shared" si="22"/>
        <v>---</v>
      </c>
      <c r="DT280" s="14" t="str">
        <f t="shared" si="22"/>
        <v>---</v>
      </c>
      <c r="DU280" s="14" t="str">
        <f t="shared" si="22"/>
        <v>---</v>
      </c>
      <c r="DV280" s="14" t="str">
        <f t="shared" si="22"/>
        <v>---</v>
      </c>
      <c r="DW280" s="14">
        <f t="shared" si="22"/>
        <v>0.77290577555303619</v>
      </c>
      <c r="DX280" s="14">
        <f t="shared" si="22"/>
        <v>0.77148907140372935</v>
      </c>
      <c r="DY280" s="14">
        <f t="shared" si="22"/>
        <v>0.77963683273851814</v>
      </c>
      <c r="DZ280" s="14">
        <f t="shared" si="22"/>
        <v>0.7777224000526769</v>
      </c>
      <c r="EA280" s="14">
        <f t="shared" si="22"/>
        <v>0.78232531874142774</v>
      </c>
      <c r="EB280" s="14">
        <f t="shared" si="22"/>
        <v>0.77732956242651507</v>
      </c>
      <c r="EC280" s="14">
        <f t="shared" si="22"/>
        <v>0.82891466952754334</v>
      </c>
      <c r="ED280" s="14">
        <f t="shared" si="22"/>
        <v>0.8314299028323604</v>
      </c>
      <c r="EE280" s="14">
        <f t="shared" si="22"/>
        <v>0.85452565827248417</v>
      </c>
      <c r="EF280" s="14">
        <f t="shared" si="22"/>
        <v>0.83540933046605914</v>
      </c>
      <c r="EG280" s="14">
        <f t="shared" si="22"/>
        <v>0.83707327759620132</v>
      </c>
      <c r="EH280" s="14">
        <f t="shared" si="22"/>
        <v>0.85240331942118897</v>
      </c>
    </row>
    <row r="281" spans="4:138" customFormat="1" x14ac:dyDescent="0.25">
      <c r="D281" s="5" t="s">
        <v>18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 t="str" cm="1">
        <f t="array" ref="DK281">IF(ISERROR(SUM(IF(CY5:CY260&gt;0,DK5:DK260,0))/CY267),"---",SUM(IF(CY5:CY260&gt;0,DK5:DK260,0))/CY267)</f>
        <v>---</v>
      </c>
      <c r="DL281" s="14" t="str" cm="1">
        <f t="array" ref="DL281">IF(ISERROR(SUM(IF(CZ5:CZ260&gt;0,DL5:DL260,0))/CZ267),"---",SUM(IF(CZ5:CZ260&gt;0,DL5:DL260,0))/CZ267)</f>
        <v>---</v>
      </c>
      <c r="DM281" s="14" t="str" cm="1">
        <f t="array" ref="DM281">IF(ISERROR(SUM(IF(DA5:DA260&gt;0,DM5:DM260,0))/DA267),"---",SUM(IF(DA5:DA260&gt;0,DM5:DM260,0))/DA267)</f>
        <v>---</v>
      </c>
      <c r="DN281" s="14" t="str" cm="1">
        <f t="array" ref="DN281">IF(ISERROR(SUM(IF(DB5:DB260&gt;0,DN5:DN260,0))/DB267),"---",SUM(IF(DB5:DB260&gt;0,DN5:DN260,0))/DB267)</f>
        <v>---</v>
      </c>
      <c r="DO281" s="14" t="str" cm="1">
        <f t="array" ref="DO281">IF(ISERROR(SUM(IF(DC5:DC260&gt;0,DO5:DO260,0))/DC267),"---",SUM(IF(DC5:DC260&gt;0,DO5:DO260,0))/DC267)</f>
        <v>---</v>
      </c>
      <c r="DP281" s="14" t="str" cm="1">
        <f t="array" ref="DP281">IF(ISERROR(SUM(IF(DD5:DD260&gt;0,DP5:DP260,0))/DD267),"---",SUM(IF(DD5:DD260&gt;0,DP5:DP260,0))/DD267)</f>
        <v>---</v>
      </c>
      <c r="DQ281" s="14" t="str" cm="1">
        <f t="array" ref="DQ281">IF(ISERROR(SUM(IF(DE5:DE260&gt;0,DQ5:DQ260,0))/DE267),"---",SUM(IF(DE5:DE260&gt;0,DQ5:DQ260,0))/DE267)</f>
        <v>---</v>
      </c>
      <c r="DR281" s="14" t="str" cm="1">
        <f t="array" ref="DR281">IF(ISERROR(SUM(IF(DF5:DF260&gt;0,DR5:DR260,0))/DF267),"---",SUM(IF(DF5:DF260&gt;0,DR5:DR260,0))/DF267)</f>
        <v>---</v>
      </c>
      <c r="DS281" s="14" t="str" cm="1">
        <f t="array" ref="DS281">IF(ISERROR(SUM(IF(DG5:DG260&gt;0,DS5:DS260,0))/DG267),"---",SUM(IF(DG5:DG260&gt;0,DS5:DS260,0))/DG267)</f>
        <v>---</v>
      </c>
      <c r="DT281" s="14" t="str" cm="1">
        <f t="array" ref="DT281">IF(ISERROR(SUM(IF(DH5:DH260&gt;0,DT5:DT260,0))/DH267),"---",SUM(IF(DH5:DH260&gt;0,DT5:DT260,0))/DH267)</f>
        <v>---</v>
      </c>
      <c r="DU281" s="14" t="str" cm="1">
        <f t="array" ref="DU281">IF(ISERROR(SUM(IF(DI5:DI260&gt;0,DU5:DU260,0))/DI267),"---",SUM(IF(DI5:DI260&gt;0,DU5:DU260,0))/DI267)</f>
        <v>---</v>
      </c>
      <c r="DV281" s="14" t="str" cm="1">
        <f t="array" ref="DV281">IF(ISERROR(SUM(IF(DJ5:DJ260&gt;0,DV5:DV260,0))/DJ267),"---",SUM(IF(DJ5:DJ260&gt;0,DV5:DV260,0))/DJ267)</f>
        <v>---</v>
      </c>
      <c r="DW281" s="14" cm="1">
        <f t="array" ref="DW281">IF(ISERROR(SUM(IF(DK5:DK260&gt;0,DW5:DW260,0))/DK267),"---",SUM(IF(DK5:DK260&gt;0,DW5:DW260,0))/DK267)</f>
        <v>1.1007356006329159</v>
      </c>
      <c r="DX281" s="14" cm="1">
        <f t="array" ref="DX281">IF(ISERROR(SUM(IF(DL5:DL260&gt;0,DX5:DX260,0))/DL267),"---",SUM(IF(DL5:DL260&gt;0,DX5:DX260,0))/DL267)</f>
        <v>1.0794547740710023</v>
      </c>
      <c r="DY281" s="14" cm="1">
        <f t="array" ref="DY281">IF(ISERROR(SUM(IF(DM5:DM260&gt;0,DY5:DY260,0))/DM267),"---",SUM(IF(DM5:DM260&gt;0,DY5:DY260,0))/DM267)</f>
        <v>1.0734375380471777</v>
      </c>
      <c r="DZ281" s="14" cm="1">
        <f t="array" ref="DZ281">IF(ISERROR(SUM(IF(DN5:DN260&gt;0,DZ5:DZ260,0))/DN267),"---",SUM(IF(DN5:DN260&gt;0,DZ5:DZ260,0))/DN267)</f>
        <v>1.0617809806056215</v>
      </c>
      <c r="EA281" s="14" cm="1">
        <f t="array" ref="EA281">IF(ISERROR(SUM(IF(DO5:DO260&gt;0,EA5:EA260,0))/DO267),"---",SUM(IF(DO5:DO260&gt;0,EA5:EA260,0))/DO267)</f>
        <v>1.0617940855885304</v>
      </c>
      <c r="EB281" s="14" cm="1">
        <f t="array" ref="EB281">IF(ISERROR(SUM(IF(DP5:DP260&gt;0,EB5:EB260,0))/DP267),"---",SUM(IF(DP5:DP260&gt;0,EB5:EB260,0))/DP267)</f>
        <v>1.0787146715815561</v>
      </c>
      <c r="EC281" s="14" cm="1">
        <f t="array" ref="EC281">IF(ISERROR(SUM(IF(DQ5:DQ260&gt;0,EC5:EC260,0))/DQ267),"---",SUM(IF(DQ5:DQ260&gt;0,EC5:EC260,0))/DQ267)</f>
        <v>1.0701202842059379</v>
      </c>
      <c r="ED281" s="14" cm="1">
        <f t="array" ref="ED281">IF(ISERROR(SUM(IF(DR5:DR260&gt;0,ED5:ED260,0))/DR267),"---",SUM(IF(DR5:DR260&gt;0,ED5:ED260,0))/DR267)</f>
        <v>1.0621773965067054</v>
      </c>
      <c r="EE281" s="14" cm="1">
        <f t="array" ref="EE281">IF(ISERROR(SUM(IF(DS5:DS260&gt;0,EE5:EE260,0))/DS267),"---",SUM(IF(DS5:DS260&gt;0,EE5:EE260,0))/DS267)</f>
        <v>1.1691169213670733</v>
      </c>
      <c r="EF281" s="14" cm="1">
        <f t="array" ref="EF281">IF(ISERROR(SUM(IF(DT5:DT260&gt;0,EF5:EF260,0))/DT267),"---",SUM(IF(DT5:DT260&gt;0,EF5:EF260,0))/DT267)</f>
        <v>1.1047552463202093</v>
      </c>
      <c r="EG281" s="14" cm="1">
        <f t="array" ref="EG281">IF(ISERROR(SUM(IF(DU5:DU260&gt;0,EG5:EG260,0))/DU267),"---",SUM(IF(DU5:DU260&gt;0,EG5:EG260,0))/DU267)</f>
        <v>1.1033240502169512</v>
      </c>
      <c r="EH281" s="14" cm="1">
        <f t="array" ref="EH281">IF(ISERROR(SUM(IF(DV5:DV260&gt;0,EH5:EH260,0))/DV267),"---",SUM(IF(DV5:DV260&gt;0,EH5:EH260,0))/DV267)</f>
        <v>1.0793573820701599</v>
      </c>
    </row>
    <row r="282" spans="4:138" customFormat="1" x14ac:dyDescent="0.25">
      <c r="D282" s="5" t="s">
        <v>19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 t="str" cm="1">
        <f t="array" ref="DK282">IF(ISERROR(SUM(IF(CY5:CY260&gt;0,1,0)*IF(DK5:DK260&gt;CY5:CY260,CY5:CY260,DK5:DK260))/CY267),"---",
SUM(IF(CY5:CY260&gt;0,1,0)*IF(DK5:DK260&gt;CY5:CY260,CY5:CY260,DK5:DK260))/CY267)</f>
        <v>---</v>
      </c>
      <c r="DL282" s="14" t="str" cm="1">
        <f t="array" ref="DL282">IF(ISERROR(SUM(IF(CZ5:CZ260&gt;0,1,0)*IF(DL5:DL260&gt;CZ5:CZ260,CZ5:CZ260,DL5:DL260))/CZ267),"---",
SUM(IF(CZ5:CZ260&gt;0,1,0)*IF(DL5:DL260&gt;CZ5:CZ260,CZ5:CZ260,DL5:DL260))/CZ267)</f>
        <v>---</v>
      </c>
      <c r="DM282" s="14" t="str" cm="1">
        <f t="array" ref="DM282">IF(ISERROR(SUM(IF(DA5:DA260&gt;0,1,0)*IF(DM5:DM260&gt;DA5:DA260,DA5:DA260,DM5:DM260))/DA267),"---",
SUM(IF(DA5:DA260&gt;0,1,0)*IF(DM5:DM260&gt;DA5:DA260,DA5:DA260,DM5:DM260))/DA267)</f>
        <v>---</v>
      </c>
      <c r="DN282" s="14" t="str" cm="1">
        <f t="array" ref="DN282">IF(ISERROR(SUM(IF(DB5:DB260&gt;0,1,0)*IF(DN5:DN260&gt;DB5:DB260,DB5:DB260,DN5:DN260))/DB267),"---",
SUM(IF(DB5:DB260&gt;0,1,0)*IF(DN5:DN260&gt;DB5:DB260,DB5:DB260,DN5:DN260))/DB267)</f>
        <v>---</v>
      </c>
      <c r="DO282" s="14" t="str" cm="1">
        <f t="array" ref="DO282">IF(ISERROR(SUM(IF(DC5:DC260&gt;0,1,0)*IF(DO5:DO260&gt;DC5:DC260,DC5:DC260,DO5:DO260))/DC267),"---",
SUM(IF(DC5:DC260&gt;0,1,0)*IF(DO5:DO260&gt;DC5:DC260,DC5:DC260,DO5:DO260))/DC267)</f>
        <v>---</v>
      </c>
      <c r="DP282" s="14" t="str" cm="1">
        <f t="array" ref="DP282">IF(ISERROR(SUM(IF(DD5:DD260&gt;0,1,0)*IF(DP5:DP260&gt;DD5:DD260,DD5:DD260,DP5:DP260))/DD267),"---",
SUM(IF(DD5:DD260&gt;0,1,0)*IF(DP5:DP260&gt;DD5:DD260,DD5:DD260,DP5:DP260))/DD267)</f>
        <v>---</v>
      </c>
      <c r="DQ282" s="14" t="str" cm="1">
        <f t="array" ref="DQ282">IF(ISERROR(SUM(IF(DE5:DE260&gt;0,1,0)*IF(DQ5:DQ260&gt;DE5:DE260,DE5:DE260,DQ5:DQ260))/DE267),"---",
SUM(IF(DE5:DE260&gt;0,1,0)*IF(DQ5:DQ260&gt;DE5:DE260,DE5:DE260,DQ5:DQ260))/DE267)</f>
        <v>---</v>
      </c>
      <c r="DR282" s="14" t="str" cm="1">
        <f t="array" ref="DR282">IF(ISERROR(SUM(IF(DF5:DF260&gt;0,1,0)*IF(DR5:DR260&gt;DF5:DF260,DF5:DF260,DR5:DR260))/DF267),"---",
SUM(IF(DF5:DF260&gt;0,1,0)*IF(DR5:DR260&gt;DF5:DF260,DF5:DF260,DR5:DR260))/DF267)</f>
        <v>---</v>
      </c>
      <c r="DS282" s="14" t="str" cm="1">
        <f t="array" ref="DS282">IF(ISERROR(SUM(IF(DG5:DG260&gt;0,1,0)*IF(DS5:DS260&gt;DG5:DG260,DG5:DG260,DS5:DS260))/DG267),"---",
SUM(IF(DG5:DG260&gt;0,1,0)*IF(DS5:DS260&gt;DG5:DG260,DG5:DG260,DS5:DS260))/DG267)</f>
        <v>---</v>
      </c>
      <c r="DT282" s="14" t="str" cm="1">
        <f t="array" ref="DT282">IF(ISERROR(SUM(IF(DH5:DH260&gt;0,1,0)*IF(DT5:DT260&gt;DH5:DH260,DH5:DH260,DT5:DT260))/DH267),"---",
SUM(IF(DH5:DH260&gt;0,1,0)*IF(DT5:DT260&gt;DH5:DH260,DH5:DH260,DT5:DT260))/DH267)</f>
        <v>---</v>
      </c>
      <c r="DU282" s="14" t="str" cm="1">
        <f t="array" ref="DU282">IF(ISERROR(SUM(IF(DI5:DI260&gt;0,1,0)*IF(DU5:DU260&gt;DI5:DI260,DI5:DI260,DU5:DU260))/DI267),"---",
SUM(IF(DI5:DI260&gt;0,1,0)*IF(DU5:DU260&gt;DI5:DI260,DI5:DI260,DU5:DU260))/DI267)</f>
        <v>---</v>
      </c>
      <c r="DV282" s="14" t="str" cm="1">
        <f t="array" ref="DV282">IF(ISERROR(SUM(IF(DJ5:DJ260&gt;0,1,0)*IF(DV5:DV260&gt;DJ5:DJ260,DJ5:DJ260,DV5:DV260))/DJ267),"---",
SUM(IF(DJ5:DJ260&gt;0,1,0)*IF(DV5:DV260&gt;DJ5:DJ260,DJ5:DJ260,DV5:DV260))/DJ267)</f>
        <v>---</v>
      </c>
      <c r="DW282" s="14" cm="1">
        <f t="array" ref="DW282">IF(ISERROR(SUM(IF(DK5:DK260&gt;0,1,0)*IF(DW5:DW260&gt;DK5:DK260,DK5:DK260,DW5:DW260))/DK267),"---",
SUM(IF(DK5:DK260&gt;0,1,0)*IF(DW5:DW260&gt;DK5:DK260,DK5:DK260,DW5:DW260))/DK267)</f>
        <v>0.88322416478967991</v>
      </c>
      <c r="DX282" s="14" cm="1">
        <f t="array" ref="DX282">IF(ISERROR(SUM(IF(DL5:DL260&gt;0,1,0)*IF(DX5:DX260&gt;DL5:DL260,DL5:DL260,DX5:DX260))/DL267),"---",
SUM(IF(DL5:DL260&gt;0,1,0)*IF(DX5:DX260&gt;DL5:DL260,DL5:DL260,DX5:DX260))/DL267)</f>
        <v>0.86047540062601957</v>
      </c>
      <c r="DY282" s="14" cm="1">
        <f t="array" ref="DY282">IF(ISERROR(SUM(IF(DM5:DM260&gt;0,1,0)*IF(DY5:DY260&gt;DM5:DM260,DM5:DM260,DY5:DY260))/DM267),"---",
SUM(IF(DM5:DM260&gt;0,1,0)*IF(DY5:DY260&gt;DM5:DM260,DM5:DM260,DY5:DY260))/DM267)</f>
        <v>0.85929584532756798</v>
      </c>
      <c r="DZ282" s="14" cm="1">
        <f t="array" ref="DZ282">IF(ISERROR(SUM(IF(DN5:DN260&gt;0,1,0)*IF(DZ5:DZ260&gt;DN5:DN260,DN5:DN260,DZ5:DZ260))/DN267),"---",
SUM(IF(DN5:DN260&gt;0,1,0)*IF(DZ5:DZ260&gt;DN5:DN260,DN5:DN260,DZ5:DZ260))/DN267)</f>
        <v>0.86086220775634548</v>
      </c>
      <c r="EA282" s="14" cm="1">
        <f t="array" ref="EA282">IF(ISERROR(SUM(IF(DO5:DO260&gt;0,1,0)*IF(EA5:EA260&gt;DO5:DO260,DO5:DO260,EA5:EA260))/DO267),"---",
SUM(IF(DO5:DO260&gt;0,1,0)*IF(EA5:EA260&gt;DO5:DO260,DO5:DO260,EA5:EA260))/DO267)</f>
        <v>0.85798669792430871</v>
      </c>
      <c r="EB282" s="14" cm="1">
        <f t="array" ref="EB282">IF(ISERROR(SUM(IF(DP5:DP260&gt;0,1,0)*IF(EB5:EB260&gt;DP5:DP260,DP5:DP260,EB5:EB260))/DP267),"---",
SUM(IF(DP5:DP260&gt;0,1,0)*IF(EB5:EB260&gt;DP5:DP260,DP5:DP260,EB5:EB260))/DP267)</f>
        <v>0.86595036385013791</v>
      </c>
      <c r="EC282" s="14" cm="1">
        <f t="array" ref="EC282">IF(ISERROR(SUM(IF(DQ5:DQ260&gt;0,1,0)*IF(EC5:EC260&gt;DQ5:DQ260,DQ5:DQ260,EC5:EC260))/DQ267),"---",
SUM(IF(DQ5:DQ260&gt;0,1,0)*IF(EC5:EC260&gt;DQ5:DQ260,DQ5:DQ260,EC5:EC260))/DQ267)</f>
        <v>0.87401219203009395</v>
      </c>
      <c r="ED282" s="14" cm="1">
        <f t="array" ref="ED282">IF(ISERROR(SUM(IF(DR5:DR260&gt;0,1,0)*IF(ED5:ED260&gt;DR5:DR260,DR5:DR260,ED5:ED260))/DR267),"---",
SUM(IF(DR5:DR260&gt;0,1,0)*IF(ED5:ED260&gt;DR5:DR260,DR5:DR260,ED5:ED260))/DR267)</f>
        <v>0.87281742567585252</v>
      </c>
      <c r="EE282" s="14" cm="1">
        <f t="array" ref="EE282">IF(ISERROR(SUM(IF(DS5:DS260&gt;0,1,0)*IF(EE5:EE260&gt;DS5:DS260,DS5:DS260,EE5:EE260))/DS267),"---",
SUM(IF(DS5:DS260&gt;0,1,0)*IF(EE5:EE260&gt;DS5:DS260,DS5:DS260,EE5:EE260))/DS267)</f>
        <v>0.89563854825386846</v>
      </c>
      <c r="EF282" s="14" cm="1">
        <f t="array" ref="EF282">IF(ISERROR(SUM(IF(DT5:DT260&gt;0,1,0)*IF(EF5:EF260&gt;DT5:DT260,DT5:DT260,EF5:EF260))/DT267),"---",
SUM(IF(DT5:DT260&gt;0,1,0)*IF(EF5:EF260&gt;DT5:DT260,DT5:DT260,EF5:EF260))/DT267)</f>
        <v>0.89798991038870235</v>
      </c>
      <c r="EG282" s="14" cm="1">
        <f t="array" ref="EG282">IF(ISERROR(SUM(IF(DU5:DU260&gt;0,1,0)*IF(EG5:EG260&gt;DU5:DU260,DU5:DU260,EG5:EG260))/DU267),"---",
SUM(IF(DU5:DU260&gt;0,1,0)*IF(EG5:EG260&gt;DU5:DU260,DU5:DU260,EG5:EG260))/DU267)</f>
        <v>0.89975057887361465</v>
      </c>
      <c r="EH282" s="14" cm="1">
        <f t="array" ref="EH282">IF(ISERROR(SUM(IF(DV5:DV260&gt;0,1,0)*IF(EH5:EH260&gt;DV5:DV260,DV5:DV260,EH5:EH260))/DV267),"---",
SUM(IF(DV5:DV260&gt;0,1,0)*IF(EH5:EH260&gt;DV5:DV260,DV5:DV260,EH5:EH260))/DV267)</f>
        <v>0.91225020761925046</v>
      </c>
    </row>
    <row r="283" spans="4:138" customFormat="1" x14ac:dyDescent="0.25"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</row>
    <row r="284" spans="4:138" customFormat="1" x14ac:dyDescent="0.25">
      <c r="D284" s="16" t="s">
        <v>20</v>
      </c>
      <c r="E284" s="5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>
        <f t="array" ref="DK284">SUM(IF(DK5:DK260&gt;DJ5:DJ260,1,0)*IF(DJ5:DJ260&gt;0,1,0))</f>
        <v>0</v>
      </c>
      <c r="DL284" s="16">
        <f t="array" ref="DL284">SUM(IF(DL5:DL260&gt;DK5:DK260,1,0)*IF(DK5:DK260&gt;0,1,0))</f>
        <v>1</v>
      </c>
      <c r="DM284" s="16">
        <f t="array" ref="DM284">SUM(IF(DM5:DM260&gt;DL5:DL260,1,0)*IF(DL5:DL260&gt;0,1,0))</f>
        <v>2</v>
      </c>
      <c r="DN284" s="16">
        <f t="array" ref="DN284">SUM(IF(DN5:DN260&gt;DM5:DM260,1,0)*IF(DM5:DM260&gt;0,1,0))</f>
        <v>2</v>
      </c>
      <c r="DO284" s="16">
        <f t="array" ref="DO284">SUM(IF(DO5:DO260&gt;DN5:DN260,1,0)*IF(DN5:DN260&gt;0,1,0))</f>
        <v>1</v>
      </c>
      <c r="DP284" s="16">
        <f t="array" ref="DP284">SUM(IF(DP5:DP260&gt;DO5:DO260,1,0)*IF(DO5:DO260&gt;0,1,0))</f>
        <v>1</v>
      </c>
      <c r="DQ284" s="16">
        <f t="array" ref="DQ284">SUM(IF(DQ5:DQ260&gt;DP5:DP260,1,0)*IF(DP5:DP260&gt;0,1,0))</f>
        <v>2</v>
      </c>
      <c r="DR284" s="16">
        <f t="array" ref="DR284">SUM(IF(DR5:DR260&gt;DQ5:DQ260,1,0)*IF(DQ5:DQ260&gt;0,1,0))</f>
        <v>1</v>
      </c>
      <c r="DS284" s="16">
        <f t="array" ref="DS284">SUM(IF(DS5:DS260&gt;DR5:DR260,1,0)*IF(DR5:DR260&gt;0,1,0))</f>
        <v>1</v>
      </c>
      <c r="DT284" s="16">
        <f t="array" ref="DT284">SUM(IF(DT5:DT260&gt;DS5:DS260,1,0)*IF(DS5:DS260&gt;0,1,0))</f>
        <v>5</v>
      </c>
      <c r="DU284" s="16">
        <f t="array" ref="DU284">SUM(IF(DU5:DU260&gt;DT5:DT260,1,0)*IF(DT5:DT260&gt;0,1,0))</f>
        <v>1</v>
      </c>
      <c r="DV284" s="16">
        <f t="array" ref="DV284">SUM(IF(DV5:DV260&gt;DU5:DU260,1,0)*IF(DU5:DU260&gt;0,1,0))</f>
        <v>3</v>
      </c>
      <c r="DW284" s="16">
        <f t="array" ref="DW284">SUM(IF(DW5:DW260&gt;DV5:DV260,1,0)*IF(DV5:DV260&gt;0,1,0))</f>
        <v>2</v>
      </c>
      <c r="DX284" s="16">
        <f t="array" ref="DX284">SUM(IF(DX5:DX260&gt;DW5:DW260,1,0)*IF(DW5:DW260&gt;0,1,0))</f>
        <v>1</v>
      </c>
      <c r="DY284" s="16">
        <f t="array" ref="DY284">SUM(IF(DY5:DY260&gt;DX5:DX260,1,0)*IF(DX5:DX260&gt;0,1,0))</f>
        <v>1</v>
      </c>
      <c r="DZ284" s="16">
        <f t="array" ref="DZ284">SUM(IF(DZ5:DZ260&gt;DY5:DY260,1,0)*IF(DY5:DY260&gt;0,1,0))</f>
        <v>4</v>
      </c>
      <c r="EA284" s="16">
        <f t="array" ref="EA284">SUM(IF(EA5:EA260&gt;DZ5:DZ260,1,0)*IF(DZ5:DZ260&gt;0,1,0))</f>
        <v>1</v>
      </c>
      <c r="EB284" s="16">
        <f t="array" ref="EB284">SUM(IF(EB5:EB260&gt;EA5:EA260,1,0)*IF(EA5:EA260&gt;0,1,0))</f>
        <v>3</v>
      </c>
      <c r="EC284" s="16">
        <f t="array" ref="EC284">SUM(IF(EC5:EC260&gt;EB5:EB260,1,0)*IF(EB5:EB260&gt;0,1,0))</f>
        <v>0</v>
      </c>
      <c r="ED284" s="16">
        <f t="array" ref="ED284">SUM(IF(ED5:ED260&gt;EC5:EC260,1,0)*IF(EC5:EC260&gt;0,1,0))</f>
        <v>0</v>
      </c>
      <c r="EE284" s="16">
        <f t="array" ref="EE284">SUM(IF(EE5:EE260&gt;ED5:ED260,1,0)*IF(ED5:ED260&gt;0,1,0))</f>
        <v>2</v>
      </c>
      <c r="EF284" s="16">
        <f t="array" ref="EF284">SUM(IF(EF5:EF260&gt;EE5:EE260,1,0)*IF(EE5:EE260&gt;0,1,0))</f>
        <v>1</v>
      </c>
      <c r="EG284" s="16">
        <f t="array" ref="EG284">SUM(IF(EG5:EG260&gt;EF5:EF260,1,0)*IF(EF5:EF260&gt;0,1,0))</f>
        <v>0</v>
      </c>
      <c r="EH284" s="16">
        <f t="array" ref="EH284">SUM(IF(EH5:EH260&gt;EG5:EG260,1,0)*IF(EG5:EG260&gt;0,1,0))</f>
        <v>2</v>
      </c>
    </row>
    <row r="285" spans="4:138" customFormat="1" x14ac:dyDescent="0.25">
      <c r="D285" s="16" t="s">
        <v>21</v>
      </c>
      <c r="E285" s="5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>
        <f t="array" ref="DK285">SUM(IF(DK5:DK260&lt;DJ5:DJ260,1,0)*IF(DK5:DK260&gt;0,1,0))</f>
        <v>0</v>
      </c>
      <c r="DL285" s="16">
        <f t="array" ref="DL285">SUM(IF(DL5:DL260&lt;DK5:DK260,1,0)*IF(DL5:DL260&gt;0,1,0))</f>
        <v>0</v>
      </c>
      <c r="DM285" s="16">
        <f t="array" ref="DM285">SUM(IF(DM5:DM260&lt;DL5:DL260,1,0)*IF(DM5:DM260&gt;0,1,0))</f>
        <v>1</v>
      </c>
      <c r="DN285" s="16">
        <f t="array" ref="DN285">SUM(IF(DN5:DN260&lt;DM5:DM260,1,0)*IF(DN5:DN260&gt;0,1,0))</f>
        <v>0</v>
      </c>
      <c r="DO285" s="16">
        <f t="array" ref="DO285">SUM(IF(DO5:DO260&lt;DN5:DN260,1,0)*IF(DO5:DO260&gt;0,1,0))</f>
        <v>0</v>
      </c>
      <c r="DP285" s="16">
        <f t="array" ref="DP285">SUM(IF(DP5:DP260&lt;DO5:DO260,1,0)*IF(DP5:DP260&gt;0,1,0))</f>
        <v>0</v>
      </c>
      <c r="DQ285" s="16">
        <f t="array" ref="DQ285">SUM(IF(DQ5:DQ260&lt;DP5:DP260,1,0)*IF(DQ5:DQ260&gt;0,1,0))</f>
        <v>0</v>
      </c>
      <c r="DR285" s="16">
        <f t="array" ref="DR285">SUM(IF(DR5:DR260&lt;DQ5:DQ260,1,0)*IF(DR5:DR260&gt;0,1,0))</f>
        <v>0</v>
      </c>
      <c r="DS285" s="16">
        <f t="array" ref="DS285">SUM(IF(DS5:DS260&lt;DR5:DR260,1,0)*IF(DS5:DS260&gt;0,1,0))</f>
        <v>0</v>
      </c>
      <c r="DT285" s="16">
        <f t="array" ref="DT285">SUM(IF(DT5:DT260&lt;DS5:DS260,1,0)*IF(DT5:DT260&gt;0,1,0))</f>
        <v>1</v>
      </c>
      <c r="DU285" s="16">
        <f t="array" ref="DU285">SUM(IF(DU5:DU260&lt;DT5:DT260,1,0)*IF(DU5:DU260&gt;0,1,0))</f>
        <v>0</v>
      </c>
      <c r="DV285" s="16">
        <f t="array" ref="DV285">SUM(IF(DV5:DV260&lt;DU5:DU260,1,0)*IF(DV5:DV260&gt;0,1,0))</f>
        <v>0</v>
      </c>
      <c r="DW285" s="16">
        <f t="array" ref="DW285">SUM(IF(DW5:DW260&lt;DV5:DV260,1,0)*IF(DW5:DW260&gt;0,1,0))</f>
        <v>1</v>
      </c>
      <c r="DX285" s="16">
        <f t="array" ref="DX285">SUM(IF(DX5:DX260&lt;DW5:DW260,1,0)*IF(DX5:DX260&gt;0,1,0))</f>
        <v>0</v>
      </c>
      <c r="DY285" s="16">
        <f t="array" ref="DY285">SUM(IF(DY5:DY260&lt;DX5:DX260,1,0)*IF(DY5:DY260&gt;0,1,0))</f>
        <v>1</v>
      </c>
      <c r="DZ285" s="16">
        <f t="array" ref="DZ285">SUM(IF(DZ5:DZ260&lt;DY5:DY260,1,0)*IF(DZ5:DZ260&gt;0,1,0))</f>
        <v>0</v>
      </c>
      <c r="EA285" s="16">
        <f t="array" ref="EA285">SUM(IF(EA5:EA260&lt;DZ5:DZ260,1,0)*IF(EA5:EA260&gt;0,1,0))</f>
        <v>0</v>
      </c>
      <c r="EB285" s="16">
        <f t="array" ref="EB285">SUM(IF(EB5:EB260&lt;EA5:EA260,1,0)*IF(EB5:EB260&gt;0,1,0))</f>
        <v>1</v>
      </c>
      <c r="EC285" s="16">
        <f t="array" ref="EC285">SUM(IF(EC5:EC260&lt;EB5:EB260,1,0)*IF(EC5:EC260&gt;0,1,0))</f>
        <v>1</v>
      </c>
      <c r="ED285" s="16">
        <f t="array" ref="ED285">SUM(IF(ED5:ED260&lt;EC5:EC260,1,0)*IF(ED5:ED260&gt;0,1,0))</f>
        <v>1</v>
      </c>
      <c r="EE285" s="16">
        <f t="array" ref="EE285">SUM(IF(EE5:EE260&lt;ED5:ED260,1,0)*IF(EE5:EE260&gt;0,1,0))</f>
        <v>1</v>
      </c>
      <c r="EF285" s="16">
        <f t="array" ref="EF285">SUM(IF(EF5:EF260&lt;EE5:EE260,1,0)*IF(EF5:EF260&gt;0,1,0))</f>
        <v>0</v>
      </c>
      <c r="EG285" s="16">
        <f t="array" ref="EG285">SUM(IF(EG5:EG260&lt;EF5:EF260,1,0)*IF(EG5:EG260&gt;0,1,0))</f>
        <v>1</v>
      </c>
      <c r="EH285" s="16">
        <f t="array" ref="EH285">SUM(IF(EH5:EH260&lt;EG5:EG260,1,0)*IF(EH5:EH260&gt;0,1,0))</f>
        <v>0</v>
      </c>
    </row>
    <row r="286" spans="4:138" customFormat="1" x14ac:dyDescent="0.25">
      <c r="D286" s="5" t="s">
        <v>22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>
        <f t="array" ref="DK286">MAX(IF(DK5:DK260&gt;DJ5:DJ260,1,0)*IF(DJ5:DJ260&gt;0,1,0)*(DK5:DK260-DJ5:DJ260))</f>
        <v>0</v>
      </c>
      <c r="DL286" s="5">
        <f t="array" ref="DL286">MAX(IF(DL5:DL260&gt;DK5:DK260,1,0)*IF(DK5:DK260&gt;0,1,0)*(DL5:DL260-DK5:DK260))</f>
        <v>197</v>
      </c>
      <c r="DM286" s="5">
        <f t="array" ref="DM286">MAX(IF(DM5:DM260&gt;DL5:DL260,1,0)*IF(DL5:DL260&gt;0,1,0)*(DM5:DM260-DL5:DL260))</f>
        <v>4113.083333333333</v>
      </c>
      <c r="DN286" s="5">
        <f t="array" ref="DN286">MAX(IF(DN5:DN260&gt;DM5:DM260,1,0)*IF(DM5:DM260&gt;0,1,0)*(DN5:DN260-DM5:DM260))</f>
        <v>2791.583333333343</v>
      </c>
      <c r="DO286" s="5">
        <f t="array" ref="DO286">MAX(IF(DO5:DO260&gt;DN5:DN260,1,0)*IF(DN5:DN260&gt;0,1,0)*(DO5:DO260-DN5:DN260))</f>
        <v>419.08333333333303</v>
      </c>
      <c r="DP286" s="5">
        <f t="array" ref="DP286">MAX(IF(DP5:DP260&gt;DO5:DO260,1,0)*IF(DO5:DO260&gt;0,1,0)*(DP5:DP260-DO5:DO260))</f>
        <v>463.91666666666697</v>
      </c>
      <c r="DQ286" s="5">
        <f t="array" ref="DQ286">MAX(IF(DQ5:DQ260&gt;DP5:DP260,1,0)*IF(DP5:DP260&gt;0,1,0)*(DQ5:DQ260-DP5:DP260))</f>
        <v>17447.666666666657</v>
      </c>
      <c r="DR286" s="5">
        <f t="array" ref="DR286">MAX(IF(DR5:DR260&gt;DQ5:DQ260,1,0)*IF(DQ5:DQ260&gt;0,1,0)*(DR5:DR260-DQ5:DQ260))</f>
        <v>694.33333333333394</v>
      </c>
      <c r="DS286" s="5">
        <f t="array" ref="DS286">MAX(IF(DS5:DS260&gt;DR5:DR260,1,0)*IF(DR5:DR260&gt;0,1,0)*(DS5:DS260-DR5:DR260))</f>
        <v>337.08333333333303</v>
      </c>
      <c r="DT286" s="5">
        <f t="array" ref="DT286">MAX(IF(DT5:DT260&gt;DS5:DS260,1,0)*IF(DS5:DS260&gt;0,1,0)*(DT5:DT260-DS5:DS260))</f>
        <v>7828</v>
      </c>
      <c r="DU286" s="5">
        <f t="array" ref="DU286">MAX(IF(DU5:DU260&gt;DT5:DT260,1,0)*IF(DT5:DT260&gt;0,1,0)*(DU5:DU260-DT5:DT260))</f>
        <v>559.33333333333303</v>
      </c>
      <c r="DV286" s="5">
        <f t="array" ref="DV286">MAX(IF(DV5:DV260&gt;DU5:DU260,1,0)*IF(DU5:DU260&gt;0,1,0)*(DV5:DV260-DU5:DU260))</f>
        <v>10168.166666666668</v>
      </c>
      <c r="DW286" s="5">
        <f t="array" ref="DW286">MAX(IF(DW5:DW260&gt;DV5:DV260,1,0)*IF(DV5:DV260&gt;0,1,0)*(DW5:DW260-DV5:DV260))</f>
        <v>27919.916666666664</v>
      </c>
      <c r="DX286" s="5">
        <f t="array" ref="DX286">MAX(IF(DX5:DX260&gt;DW5:DW260,1,0)*IF(DW5:DW260&gt;0,1,0)*(DX5:DX260-DW5:DW260))</f>
        <v>257.58333333333394</v>
      </c>
      <c r="DY286" s="5">
        <f t="array" ref="DY286">MAX(IF(DY5:DY260&gt;DX5:DX260,1,0)*IF(DX5:DX260&gt;0,1,0)*(DY5:DY260-DX5:DX260))</f>
        <v>153.5</v>
      </c>
      <c r="DZ286" s="5">
        <f t="array" ref="DZ286">MAX(IF(DZ5:DZ260&gt;DY5:DY260,1,0)*IF(DY5:DY260&gt;0,1,0)*(DZ5:DZ260-DY5:DY260))</f>
        <v>2370</v>
      </c>
      <c r="EA286" s="5">
        <f t="array" ref="EA286">MAX(IF(EA5:EA260&gt;DZ5:DZ260,1,0)*IF(DZ5:DZ260&gt;0,1,0)*(EA5:EA260-DZ5:DZ260))</f>
        <v>63.666666666667879</v>
      </c>
      <c r="EB286" s="5">
        <f t="array" ref="EB286">MAX(IF(EB5:EB260&gt;EA5:EA260,1,0)*IF(EA5:EA260&gt;0,1,0)*(EB5:EB260-EA5:EA260))</f>
        <v>4867.5</v>
      </c>
      <c r="EC286" s="5">
        <f t="array" ref="EC286">MAX(IF(EC5:EC260&gt;EB5:EB260,1,0)*IF(EB5:EB260&gt;0,1,0)*(EC5:EC260-EB5:EB260))</f>
        <v>0</v>
      </c>
      <c r="ED286" s="5">
        <f t="array" ref="ED286">MAX(IF(ED5:ED260&gt;EC5:EC260,1,0)*IF(EC5:EC260&gt;0,1,0)*(ED5:ED260-EC5:EC260))</f>
        <v>0</v>
      </c>
      <c r="EE286" s="5">
        <f t="array" ref="EE286">MAX(IF(EE5:EE260&gt;ED5:ED260,1,0)*IF(ED5:ED260&gt;0,1,0)*(EE5:EE260-ED5:ED260))</f>
        <v>25441.083333333336</v>
      </c>
      <c r="EF286" s="5">
        <f t="array" ref="EF286">MAX(IF(EF5:EF260&gt;EE5:EE260,1,0)*IF(EE5:EE260&gt;0,1,0)*(EF5:EF260-EE5:EE260))</f>
        <v>56.33333333333394</v>
      </c>
      <c r="EG286" s="5">
        <f t="array" ref="EG286">MAX(IF(EG5:EG260&gt;EF5:EF260,1,0)*IF(EF5:EF260&gt;0,1,0)*(EG5:EG260-EF5:EF260))</f>
        <v>0</v>
      </c>
      <c r="EH286" s="5">
        <f t="array" ref="EH286">MAX(IF(EH5:EH260&gt;EG5:EG260,1,0)*IF(EG5:EG260&gt;0,1,0)*(EH5:EH260-EG5:EG260))</f>
        <v>538</v>
      </c>
    </row>
    <row r="287" spans="4:138" customFormat="1" x14ac:dyDescent="0.25">
      <c r="D287" s="5" t="s">
        <v>23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15" t="str">
        <f t="array" ref="DK287">IF(ISERROR(SUM(IF(DK5:DK260&gt;DJ5:DJ260,1,0)*IF(DJ5:DJ260&gt;0,1,0)*(DK5:DK260-DJ5:DJ260))/
SUM(IF(DK5:DK260&gt;DJ5:DJ260,1,0)*IF(DJ5:DJ260&gt;0,1,0))),"---",SUM(IF(DK5:DK260&gt;DJ5:DJ260,1,0)*IF(DJ5:DJ260&gt;0,1,0)*(DK5:DK260-DJ5:DJ260))/
SUM(IF(DK5:DK260&gt;DJ5:DJ260,1,0)*IF(DJ5:DJ260&gt;0,1,0)))</f>
        <v>---</v>
      </c>
      <c r="DL287" s="15">
        <f t="array" ref="DL287">IF(ISERROR(SUM(IF(DL5:DL260&gt;DK5:DK260,1,0)*IF(DK5:DK260&gt;0,1,0)*(DL5:DL260-DK5:DK260))/
SUM(IF(DL5:DL260&gt;DK5:DK260,1,0)*IF(DK5:DK260&gt;0,1,0))),"---",SUM(IF(DL5:DL260&gt;DK5:DK260,1,0)*IF(DK5:DK260&gt;0,1,0)*(DL5:DL260-DK5:DK260))/
SUM(IF(DL5:DL260&gt;DK5:DK260,1,0)*IF(DK5:DK260&gt;0,1,0)))</f>
        <v>197</v>
      </c>
      <c r="DM287" s="15">
        <f t="array" ref="DM287">IF(ISERROR(SUM(IF(DM5:DM260&gt;DL5:DL260,1,0)*IF(DL5:DL260&gt;0,1,0)*(DM5:DM260-DL5:DL260))/
SUM(IF(DM5:DM260&gt;DL5:DL260,1,0)*IF(DL5:DL260&gt;0,1,0))),"---",SUM(IF(DM5:DM260&gt;DL5:DL260,1,0)*IF(DL5:DL260&gt;0,1,0)*(DM5:DM260-DL5:DL260))/
SUM(IF(DM5:DM260&gt;DL5:DL260,1,0)*IF(DL5:DL260&gt;0,1,0)))</f>
        <v>2100.75</v>
      </c>
      <c r="DN287" s="15">
        <f t="array" ref="DN287">IF(ISERROR(SUM(IF(DN5:DN260&gt;DM5:DM260,1,0)*IF(DM5:DM260&gt;0,1,0)*(DN5:DN260-DM5:DM260))/
SUM(IF(DN5:DN260&gt;DM5:DM260,1,0)*IF(DM5:DM260&gt;0,1,0))),"---",SUM(IF(DN5:DN260&gt;DM5:DM260,1,0)*IF(DM5:DM260&gt;0,1,0)*(DN5:DN260-DM5:DM260))/
SUM(IF(DN5:DN260&gt;DM5:DM260,1,0)*IF(DM5:DM260&gt;0,1,0)))</f>
        <v>1595.6250000000048</v>
      </c>
      <c r="DO287" s="15">
        <f t="array" ref="DO287">IF(ISERROR(SUM(IF(DO5:DO260&gt;DN5:DN260,1,0)*IF(DN5:DN260&gt;0,1,0)*(DO5:DO260-DN5:DN260))/
SUM(IF(DO5:DO260&gt;DN5:DN260,1,0)*IF(DN5:DN260&gt;0,1,0))),"---",SUM(IF(DO5:DO260&gt;DN5:DN260,1,0)*IF(DN5:DN260&gt;0,1,0)*(DO5:DO260-DN5:DN260))/
SUM(IF(DO5:DO260&gt;DN5:DN260,1,0)*IF(DN5:DN260&gt;0,1,0)))</f>
        <v>419.08333333333303</v>
      </c>
      <c r="DP287" s="15">
        <f t="array" ref="DP287">IF(ISERROR(SUM(IF(DP5:DP260&gt;DO5:DO260,1,0)*IF(DO5:DO260&gt;0,1,0)*(DP5:DP260-DO5:DO260))/
SUM(IF(DP5:DP260&gt;DO5:DO260,1,0)*IF(DO5:DO260&gt;0,1,0))),"---",SUM(IF(DP5:DP260&gt;DO5:DO260,1,0)*IF(DO5:DO260&gt;0,1,0)*(DP5:DP260-DO5:DO260))/
SUM(IF(DP5:DP260&gt;DO5:DO260,1,0)*IF(DO5:DO260&gt;0,1,0)))</f>
        <v>463.91666666666697</v>
      </c>
      <c r="DQ287" s="15">
        <f t="array" ref="DQ287">IF(ISERROR(SUM(IF(DQ5:DQ260&gt;DP5:DP260,1,0)*IF(DP5:DP260&gt;0,1,0)*(DQ5:DQ260-DP5:DP260))/
SUM(IF(DQ5:DQ260&gt;DP5:DP260,1,0)*IF(DP5:DP260&gt;0,1,0))),"---",SUM(IF(DQ5:DQ260&gt;DP5:DP260,1,0)*IF(DP5:DP260&gt;0,1,0)*(DQ5:DQ260-DP5:DP260))/
SUM(IF(DQ5:DQ260&gt;DP5:DP260,1,0)*IF(DP5:DP260&gt;0,1,0)))</f>
        <v>9161.8749999999945</v>
      </c>
      <c r="DR287" s="15">
        <f t="array" ref="DR287">IF(ISERROR(SUM(IF(DR5:DR260&gt;DQ5:DQ260,1,0)*IF(DQ5:DQ260&gt;0,1,0)*(DR5:DR260-DQ5:DQ260))/
SUM(IF(DR5:DR260&gt;DQ5:DQ260,1,0)*IF(DQ5:DQ260&gt;0,1,0))),"---",SUM(IF(DR5:DR260&gt;DQ5:DQ260,1,0)*IF(DQ5:DQ260&gt;0,1,0)*(DR5:DR260-DQ5:DQ260))/
SUM(IF(DR5:DR260&gt;DQ5:DQ260,1,0)*IF(DQ5:DQ260&gt;0,1,0)))</f>
        <v>694.33333333333394</v>
      </c>
      <c r="DS287" s="15">
        <f t="array" ref="DS287">IF(ISERROR(SUM(IF(DS5:DS260&gt;DR5:DR260,1,0)*IF(DR5:DR260&gt;0,1,0)*(DS5:DS260-DR5:DR260))/
SUM(IF(DS5:DS260&gt;DR5:DR260,1,0)*IF(DR5:DR260&gt;0,1,0))),"---",SUM(IF(DS5:DS260&gt;DR5:DR260,1,0)*IF(DR5:DR260&gt;0,1,0)*(DS5:DS260-DR5:DR260))/
SUM(IF(DS5:DS260&gt;DR5:DR260,1,0)*IF(DR5:DR260&gt;0,1,0)))</f>
        <v>337.08333333333303</v>
      </c>
      <c r="DT287" s="15">
        <f t="array" ref="DT287">IF(ISERROR(SUM(IF(DT5:DT260&gt;DS5:DS260,1,0)*IF(DS5:DS260&gt;0,1,0)*(DT5:DT260-DS5:DS260))/
SUM(IF(DT5:DT260&gt;DS5:DS260,1,0)*IF(DS5:DS260&gt;0,1,0))),"---",SUM(IF(DT5:DT260&gt;DS5:DS260,1,0)*IF(DS5:DS260&gt;0,1,0)*(DT5:DT260-DS5:DS260))/
SUM(IF(DT5:DT260&gt;DS5:DS260,1,0)*IF(DS5:DS260&gt;0,1,0)))</f>
        <v>4669.9333333333325</v>
      </c>
      <c r="DU287" s="15">
        <f t="array" ref="DU287">IF(ISERROR(SUM(IF(DU5:DU260&gt;DT5:DT260,1,0)*IF(DT5:DT260&gt;0,1,0)*(DU5:DU260-DT5:DT260))/
SUM(IF(DU5:DU260&gt;DT5:DT260,1,0)*IF(DT5:DT260&gt;0,1,0))),"---",SUM(IF(DU5:DU260&gt;DT5:DT260,1,0)*IF(DT5:DT260&gt;0,1,0)*(DU5:DU260-DT5:DT260))/
SUM(IF(DU5:DU260&gt;DT5:DT260,1,0)*IF(DT5:DT260&gt;0,1,0)))</f>
        <v>559.33333333333303</v>
      </c>
      <c r="DV287" s="15">
        <f t="array" ref="DV287">IF(ISERROR(SUM(IF(DV5:DV260&gt;DU5:DU260,1,0)*IF(DU5:DU260&gt;0,1,0)*(DV5:DV260-DU5:DU260))/
SUM(IF(DV5:DV260&gt;DU5:DU260,1,0)*IF(DU5:DU260&gt;0,1,0))),"---",SUM(IF(DV5:DV260&gt;DU5:DU260,1,0)*IF(DU5:DU260&gt;0,1,0)*(DV5:DV260-DU5:DU260))/
SUM(IF(DV5:DV260&gt;DU5:DU260,1,0)*IF(DU5:DU260&gt;0,1,0)))</f>
        <v>4546.1944444444443</v>
      </c>
      <c r="DW287" s="15">
        <f t="array" ref="DW287">IF(ISERROR(SUM(IF(DW5:DW260&gt;DV5:DV260,1,0)*IF(DV5:DV260&gt;0,1,0)*(DW5:DW260-DV5:DV260))/
SUM(IF(DW5:DW260&gt;DV5:DV260,1,0)*IF(DV5:DV260&gt;0,1,0))),"---",SUM(IF(DW5:DW260&gt;DV5:DV260,1,0)*IF(DV5:DV260&gt;0,1,0)*(DW5:DW260-DV5:DV260))/
SUM(IF(DW5:DW260&gt;DV5:DV260,1,0)*IF(DV5:DV260&gt;0,1,0)))</f>
        <v>14126.333333333332</v>
      </c>
      <c r="DX287" s="15">
        <f t="array" ref="DX287">IF(ISERROR(SUM(IF(DX5:DX260&gt;DW5:DW260,1,0)*IF(DW5:DW260&gt;0,1,0)*(DX5:DX260-DW5:DW260))/
SUM(IF(DX5:DX260&gt;DW5:DW260,1,0)*IF(DW5:DW260&gt;0,1,0))),"---",SUM(IF(DX5:DX260&gt;DW5:DW260,1,0)*IF(DW5:DW260&gt;0,1,0)*(DX5:DX260-DW5:DW260))/
SUM(IF(DX5:DX260&gt;DW5:DW260,1,0)*IF(DW5:DW260&gt;0,1,0)))</f>
        <v>257.58333333333394</v>
      </c>
      <c r="DY287" s="15">
        <f t="array" ref="DY287">IF(ISERROR(SUM(IF(DY5:DY260&gt;DX5:DX260,1,0)*IF(DX5:DX260&gt;0,1,0)*(DY5:DY260-DX5:DX260))/
SUM(IF(DY5:DY260&gt;DX5:DX260,1,0)*IF(DX5:DX260&gt;0,1,0))),"---",SUM(IF(DY5:DY260&gt;DX5:DX260,1,0)*IF(DX5:DX260&gt;0,1,0)*(DY5:DY260-DX5:DX260))/
SUM(IF(DY5:DY260&gt;DX5:DX260,1,0)*IF(DX5:DX260&gt;0,1,0)))</f>
        <v>153.5</v>
      </c>
      <c r="DZ287" s="15">
        <f t="array" ref="DZ287">IF(ISERROR(SUM(IF(DZ5:DZ260&gt;DY5:DY260,1,0)*IF(DY5:DY260&gt;0,1,0)*(DZ5:DZ260-DY5:DY260))/
SUM(IF(DZ5:DZ260&gt;DY5:DY260,1,0)*IF(DY5:DY260&gt;0,1,0))),"---",SUM(IF(DZ5:DZ260&gt;DY5:DY260,1,0)*IF(DY5:DY260&gt;0,1,0)*(DZ5:DZ260-DY5:DY260))/
SUM(IF(DZ5:DZ260&gt;DY5:DY260,1,0)*IF(DY5:DY260&gt;0,1,0)))</f>
        <v>1126.4166666666665</v>
      </c>
      <c r="EA287" s="15">
        <f t="array" ref="EA287">IF(ISERROR(SUM(IF(EA5:EA260&gt;DZ5:DZ260,1,0)*IF(DZ5:DZ260&gt;0,1,0)*(EA5:EA260-DZ5:DZ260))/
SUM(IF(EA5:EA260&gt;DZ5:DZ260,1,0)*IF(DZ5:DZ260&gt;0,1,0))),"---",SUM(IF(EA5:EA260&gt;DZ5:DZ260,1,0)*IF(DZ5:DZ260&gt;0,1,0)*(EA5:EA260-DZ5:DZ260))/
SUM(IF(EA5:EA260&gt;DZ5:DZ260,1,0)*IF(DZ5:DZ260&gt;0,1,0)))</f>
        <v>63.666666666667879</v>
      </c>
      <c r="EB287" s="15">
        <f t="array" ref="EB287">IF(ISERROR(SUM(IF(EB5:EB260&gt;EA5:EA260,1,0)*IF(EA5:EA260&gt;0,1,0)*(EB5:EB260-EA5:EA260))/
SUM(IF(EB5:EB260&gt;EA5:EA260,1,0)*IF(EA5:EA260&gt;0,1,0))),"---",SUM(IF(EB5:EB260&gt;EA5:EA260,1,0)*IF(EA5:EA260&gt;0,1,0)*(EB5:EB260-EA5:EA260))/
SUM(IF(EB5:EB260&gt;EA5:EA260,1,0)*IF(EA5:EA260&gt;0,1,0)))</f>
        <v>2910.2777777777778</v>
      </c>
      <c r="EC287" s="15" t="str">
        <f t="array" ref="EC287">IF(ISERROR(SUM(IF(EC5:EC260&gt;EB5:EB260,1,0)*IF(EB5:EB260&gt;0,1,0)*(EC5:EC260-EB5:EB260))/
SUM(IF(EC5:EC260&gt;EB5:EB260,1,0)*IF(EB5:EB260&gt;0,1,0))),"---",SUM(IF(EC5:EC260&gt;EB5:EB260,1,0)*IF(EB5:EB260&gt;0,1,0)*(EC5:EC260-EB5:EB260))/
SUM(IF(EC5:EC260&gt;EB5:EB260,1,0)*IF(EB5:EB260&gt;0,1,0)))</f>
        <v>---</v>
      </c>
      <c r="ED287" s="15" t="str">
        <f t="array" ref="ED287">IF(ISERROR(SUM(IF(ED5:ED260&gt;EC5:EC260,1,0)*IF(EC5:EC260&gt;0,1,0)*(ED5:ED260-EC5:EC260))/
SUM(IF(ED5:ED260&gt;EC5:EC260,1,0)*IF(EC5:EC260&gt;0,1,0))),"---",SUM(IF(ED5:ED260&gt;EC5:EC260,1,0)*IF(EC5:EC260&gt;0,1,0)*(ED5:ED260-EC5:EC260))/
SUM(IF(ED5:ED260&gt;EC5:EC260,1,0)*IF(EC5:EC260&gt;0,1,0)))</f>
        <v>---</v>
      </c>
      <c r="EE287" s="15">
        <f t="array" ref="EE287">IF(ISERROR(SUM(IF(EE5:EE260&gt;ED5:ED260,1,0)*IF(ED5:ED260&gt;0,1,0)*(EE5:EE260-ED5:ED260))/
SUM(IF(EE5:EE260&gt;ED5:ED260,1,0)*IF(ED5:ED260&gt;0,1,0))),"---",SUM(IF(EE5:EE260&gt;ED5:ED260,1,0)*IF(ED5:ED260&gt;0,1,0)*(EE5:EE260-ED5:ED260))/
SUM(IF(EE5:EE260&gt;ED5:ED260,1,0)*IF(ED5:ED260&gt;0,1,0)))</f>
        <v>13916.791666666668</v>
      </c>
      <c r="EF287" s="15">
        <f t="array" ref="EF287">IF(ISERROR(SUM(IF(EF5:EF260&gt;EE5:EE260,1,0)*IF(EE5:EE260&gt;0,1,0)*(EF5:EF260-EE5:EE260))/
SUM(IF(EF5:EF260&gt;EE5:EE260,1,0)*IF(EE5:EE260&gt;0,1,0))),"---",SUM(IF(EF5:EF260&gt;EE5:EE260,1,0)*IF(EE5:EE260&gt;0,1,0)*(EF5:EF260-EE5:EE260))/
SUM(IF(EF5:EF260&gt;EE5:EE260,1,0)*IF(EE5:EE260&gt;0,1,0)))</f>
        <v>56.33333333333394</v>
      </c>
      <c r="EG287" s="15" t="str">
        <f t="array" ref="EG287">IF(ISERROR(SUM(IF(EG5:EG260&gt;EF5:EF260,1,0)*IF(EF5:EF260&gt;0,1,0)*(EG5:EG260-EF5:EF260))/
SUM(IF(EG5:EG260&gt;EF5:EF260,1,0)*IF(EF5:EF260&gt;0,1,0))),"---",SUM(IF(EG5:EG260&gt;EF5:EF260,1,0)*IF(EF5:EF260&gt;0,1,0)*(EG5:EG260-EF5:EF260))/
SUM(IF(EG5:EG260&gt;EF5:EF260,1,0)*IF(EF5:EF260&gt;0,1,0)))</f>
        <v>---</v>
      </c>
      <c r="EH287" s="15">
        <f t="array" ref="EH287">IF(ISERROR(SUM(IF(EH5:EH260&gt;EG5:EG260,1,0)*IF(EG5:EG260&gt;0,1,0)*(EH5:EH260-EG5:EG260))/
SUM(IF(EH5:EH260&gt;EG5:EG260,1,0)*IF(EG5:EG260&gt;0,1,0))),"---",SUM(IF(EH5:EH260&gt;EG5:EG260,1,0)*IF(EG5:EG260&gt;0,1,0)*(EH5:EH260-EG5:EG260))/
SUM(IF(EH5:EH260&gt;EG5:EG260,1,0)*IF(EG5:EG260&gt;0,1,0)))</f>
        <v>340.95833333333303</v>
      </c>
    </row>
    <row r="288" spans="4:138" customFormat="1" x14ac:dyDescent="0.25">
      <c r="D288" s="5" t="s">
        <v>24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>
        <f t="array" ref="DK288">MIN(IF(DK5:DK260&lt;DJ5:DJ260,1,0)*IF(DK5:DK260&gt;0,1,0)*(DK5:DK260-DJ5:DJ260))</f>
        <v>0</v>
      </c>
      <c r="DL288" s="5">
        <f t="array" ref="DL288">MIN(IF(DL5:DL260&lt;DK5:DK260,1,0)*IF(DL5:DL260&gt;0,1,0)*(DL5:DL260-DK5:DK260))</f>
        <v>0</v>
      </c>
      <c r="DM288" s="5">
        <f t="array" ref="DM288">MIN(IF(DM5:DM260&lt;DL5:DL260,1,0)*IF(DM5:DM260&gt;0,1,0)*(DM5:DM260-DL5:DL260))</f>
        <v>-3260.3333333333335</v>
      </c>
      <c r="DN288" s="5">
        <f t="array" ref="DN288">MIN(IF(DN5:DN260&lt;DM5:DM260,1,0)*IF(DN5:DN260&gt;0,1,0)*(DN5:DN260-DM5:DM260))</f>
        <v>0</v>
      </c>
      <c r="DO288" s="5">
        <f t="array" ref="DO288">MIN(IF(DO5:DO260&lt;DN5:DN260,1,0)*IF(DO5:DO260&gt;0,1,0)*(DO5:DO260-DN5:DN260))</f>
        <v>0</v>
      </c>
      <c r="DP288" s="5">
        <f t="array" ref="DP288">MIN(IF(DP5:DP260&lt;DO5:DO260,1,0)*IF(DP5:DP260&gt;0,1,0)*(DP5:DP260-DO5:DO260))</f>
        <v>0</v>
      </c>
      <c r="DQ288" s="5">
        <f t="array" ref="DQ288">MIN(IF(DQ5:DQ260&lt;DP5:DP260,1,0)*IF(DQ5:DQ260&gt;0,1,0)*(DQ5:DQ260-DP5:DP260))</f>
        <v>0</v>
      </c>
      <c r="DR288" s="5">
        <f t="array" ref="DR288">MIN(IF(DR5:DR260&lt;DQ5:DQ260,1,0)*IF(DR5:DR260&gt;0,1,0)*(DR5:DR260-DQ5:DQ260))</f>
        <v>0</v>
      </c>
      <c r="DS288" s="5">
        <f t="array" ref="DS288">MIN(IF(DS5:DS260&lt;DR5:DR260,1,0)*IF(DS5:DS260&gt;0,1,0)*(DS5:DS260-DR5:DR260))</f>
        <v>0</v>
      </c>
      <c r="DT288" s="5">
        <f t="array" ref="DT288">MIN(IF(DT5:DT260&lt;DS5:DS260,1,0)*IF(DT5:DT260&gt;0,1,0)*(DT5:DT260-DS5:DS260))</f>
        <v>-4867.5</v>
      </c>
      <c r="DU288" s="5">
        <f t="array" ref="DU288">MIN(IF(DU5:DU260&lt;DT5:DT260,1,0)*IF(DU5:DU260&gt;0,1,0)*(DU5:DU260-DT5:DT260))</f>
        <v>0</v>
      </c>
      <c r="DV288" s="5">
        <f t="array" ref="DV288">MIN(IF(DV5:DV260&lt;DU5:DU260,1,0)*IF(DV5:DV260&gt;0,1,0)*(DV5:DV260-DU5:DU260))</f>
        <v>0</v>
      </c>
      <c r="DW288" s="5">
        <f t="array" ref="DW288">MIN(IF(DW5:DW260&lt;DV5:DV260,1,0)*IF(DW5:DW260&gt;0,1,0)*(DW5:DW260-DV5:DV260))</f>
        <v>-22218.166666666657</v>
      </c>
      <c r="DX288" s="5">
        <f t="array" ref="DX288">MIN(IF(DX5:DX260&lt;DW5:DW260,1,0)*IF(DX5:DX260&gt;0,1,0)*(DX5:DX260-DW5:DW260))</f>
        <v>0</v>
      </c>
      <c r="DY288" s="5">
        <f t="array" ref="DY288">MIN(IF(DY5:DY260&lt;DX5:DX260,1,0)*IF(DY5:DY260&gt;0,1,0)*(DY5:DY260-DX5:DX260))</f>
        <v>-212.5</v>
      </c>
      <c r="DZ288" s="5">
        <f t="array" ref="DZ288">MIN(IF(DZ5:DZ260&lt;DY5:DY260,1,0)*IF(DZ5:DZ260&gt;0,1,0)*(DZ5:DZ260-DY5:DY260))</f>
        <v>0</v>
      </c>
      <c r="EA288" s="5">
        <f t="array" ref="EA288">MIN(IF(EA5:EA260&lt;DZ5:DZ260,1,0)*IF(EA5:EA260&gt;0,1,0)*(EA5:EA260-DZ5:DZ260))</f>
        <v>0</v>
      </c>
      <c r="EB288" s="5">
        <f t="array" ref="EB288">MIN(IF(EB5:EB260&lt;EA5:EA260,1,0)*IF(EB5:EB260&gt;0,1,0)*(EB5:EB260-EA5:EA260))</f>
        <v>-1.9166666666678793</v>
      </c>
      <c r="EC288" s="5">
        <f t="array" ref="EC288">MIN(IF(EC5:EC260&lt;EB5:EB260,1,0)*IF(EC5:EC260&gt;0,1,0)*(EC5:EC260-EB5:EB260))</f>
        <v>-385.5</v>
      </c>
      <c r="ED288" s="5">
        <f t="array" ref="ED288">MIN(IF(ED5:ED260&lt;EC5:EC260,1,0)*IF(ED5:ED260&gt;0,1,0)*(ED5:ED260-EC5:EC260))</f>
        <v>-289.33333333333212</v>
      </c>
      <c r="EE288" s="5">
        <f t="array" ref="EE288">MIN(IF(EE5:EE260&lt;ED5:ED260,1,0)*IF(EE5:EE260&gt;0,1,0)*(EE5:EE260-ED5:ED260))</f>
        <v>-9.1666666666678793</v>
      </c>
      <c r="EF288" s="5">
        <f t="array" ref="EF288">MIN(IF(EF5:EF260&lt;EE5:EE260,1,0)*IF(EF5:EF260&gt;0,1,0)*(EF5:EF260-EE5:EE260))</f>
        <v>0</v>
      </c>
      <c r="EG288" s="5">
        <f t="array" ref="EG288">MIN(IF(EG5:EG260&lt;EF5:EF260,1,0)*IF(EG5:EG260&gt;0,1,0)*(EG5:EG260-EF5:EF260))</f>
        <v>-200.25</v>
      </c>
      <c r="EH288" s="5">
        <f t="array" ref="EH288">MIN(IF(EH5:EH260&lt;EG5:EG260,1,0)*IF(EH5:EH260&gt;0,1,0)*(EH5:EH260-EG5:EG260))</f>
        <v>0</v>
      </c>
    </row>
    <row r="289" spans="4:138" customFormat="1" x14ac:dyDescent="0.25">
      <c r="D289" s="5" t="s">
        <v>25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15" t="str">
        <f t="array" ref="DK289">IF(ISERROR(SUM(IF(DK5:DK260&lt;DJ5:DJ260,1,0)*IF(DK5:DK260&gt;0,1,0)*(DK5:DK260-DJ5:DJ260))/
SUM(IF(DK5:DK260&lt;DJ5:DJ260,1,0)*IF(DK5:DK260&gt;0,1,0))),"---",
SUM(IF(DK5:DK260&lt;DJ5:DJ260,1,0)*IF(DK5:DK260&gt;0,1,0)*(DK5:DK260-DJ5:DJ260))/
SUM(IF(DK5:DK260&lt;DJ5:DJ260,1,0)*IF(DK5:DK260&gt;0,1,0)))</f>
        <v>---</v>
      </c>
      <c r="DL289" s="15" t="str">
        <f t="array" ref="DL289">IF(ISERROR(SUM(IF(DL5:DL260&lt;DK5:DK260,1,0)*IF(DL5:DL260&gt;0,1,0)*(DL5:DL260-DK5:DK260))/
SUM(IF(DL5:DL260&lt;DK5:DK260,1,0)*IF(DL5:DL260&gt;0,1,0))),"---",
SUM(IF(DL5:DL260&lt;DK5:DK260,1,0)*IF(DL5:DL260&gt;0,1,0)*(DL5:DL260-DK5:DK260))/
SUM(IF(DL5:DL260&lt;DK5:DK260,1,0)*IF(DL5:DL260&gt;0,1,0)))</f>
        <v>---</v>
      </c>
      <c r="DM289" s="15">
        <f t="array" ref="DM289">IF(ISERROR(SUM(IF(DM5:DM260&lt;DL5:DL260,1,0)*IF(DM5:DM260&gt;0,1,0)*(DM5:DM260-DL5:DL260))/
SUM(IF(DM5:DM260&lt;DL5:DL260,1,0)*IF(DM5:DM260&gt;0,1,0))),"---",
SUM(IF(DM5:DM260&lt;DL5:DL260,1,0)*IF(DM5:DM260&gt;0,1,0)*(DM5:DM260-DL5:DL260))/
SUM(IF(DM5:DM260&lt;DL5:DL260,1,0)*IF(DM5:DM260&gt;0,1,0)))</f>
        <v>-3260.3333333333335</v>
      </c>
      <c r="DN289" s="15" t="str">
        <f t="array" ref="DN289">IF(ISERROR(SUM(IF(DN5:DN260&lt;DM5:DM260,1,0)*IF(DN5:DN260&gt;0,1,0)*(DN5:DN260-DM5:DM260))/
SUM(IF(DN5:DN260&lt;DM5:DM260,1,0)*IF(DN5:DN260&gt;0,1,0))),"---",
SUM(IF(DN5:DN260&lt;DM5:DM260,1,0)*IF(DN5:DN260&gt;0,1,0)*(DN5:DN260-DM5:DM260))/
SUM(IF(DN5:DN260&lt;DM5:DM260,1,0)*IF(DN5:DN260&gt;0,1,0)))</f>
        <v>---</v>
      </c>
      <c r="DO289" s="15" t="str">
        <f t="array" ref="DO289">IF(ISERROR(SUM(IF(DO5:DO260&lt;DN5:DN260,1,0)*IF(DO5:DO260&gt;0,1,0)*(DO5:DO260-DN5:DN260))/
SUM(IF(DO5:DO260&lt;DN5:DN260,1,0)*IF(DO5:DO260&gt;0,1,0))),"---",
SUM(IF(DO5:DO260&lt;DN5:DN260,1,0)*IF(DO5:DO260&gt;0,1,0)*(DO5:DO260-DN5:DN260))/
SUM(IF(DO5:DO260&lt;DN5:DN260,1,0)*IF(DO5:DO260&gt;0,1,0)))</f>
        <v>---</v>
      </c>
      <c r="DP289" s="15" t="str">
        <f t="array" ref="DP289">IF(ISERROR(SUM(IF(DP5:DP260&lt;DO5:DO260,1,0)*IF(DP5:DP260&gt;0,1,0)*(DP5:DP260-DO5:DO260))/
SUM(IF(DP5:DP260&lt;DO5:DO260,1,0)*IF(DP5:DP260&gt;0,1,0))),"---",
SUM(IF(DP5:DP260&lt;DO5:DO260,1,0)*IF(DP5:DP260&gt;0,1,0)*(DP5:DP260-DO5:DO260))/
SUM(IF(DP5:DP260&lt;DO5:DO260,1,0)*IF(DP5:DP260&gt;0,1,0)))</f>
        <v>---</v>
      </c>
      <c r="DQ289" s="15" t="str">
        <f t="array" ref="DQ289">IF(ISERROR(SUM(IF(DQ5:DQ260&lt;DP5:DP260,1,0)*IF(DQ5:DQ260&gt;0,1,0)*(DQ5:DQ260-DP5:DP260))/
SUM(IF(DQ5:DQ260&lt;DP5:DP260,1,0)*IF(DQ5:DQ260&gt;0,1,0))),"---",
SUM(IF(DQ5:DQ260&lt;DP5:DP260,1,0)*IF(DQ5:DQ260&gt;0,1,0)*(DQ5:DQ260-DP5:DP260))/
SUM(IF(DQ5:DQ260&lt;DP5:DP260,1,0)*IF(DQ5:DQ260&gt;0,1,0)))</f>
        <v>---</v>
      </c>
      <c r="DR289" s="15" t="str">
        <f t="array" ref="DR289">IF(ISERROR(SUM(IF(DR5:DR260&lt;DQ5:DQ260,1,0)*IF(DR5:DR260&gt;0,1,0)*(DR5:DR260-DQ5:DQ260))/
SUM(IF(DR5:DR260&lt;DQ5:DQ260,1,0)*IF(DR5:DR260&gt;0,1,0))),"---",
SUM(IF(DR5:DR260&lt;DQ5:DQ260,1,0)*IF(DR5:DR260&gt;0,1,0)*(DR5:DR260-DQ5:DQ260))/
SUM(IF(DR5:DR260&lt;DQ5:DQ260,1,0)*IF(DR5:DR260&gt;0,1,0)))</f>
        <v>---</v>
      </c>
      <c r="DS289" s="15" t="str">
        <f t="array" ref="DS289">IF(ISERROR(SUM(IF(DS5:DS260&lt;DR5:DR260,1,0)*IF(DS5:DS260&gt;0,1,0)*(DS5:DS260-DR5:DR260))/
SUM(IF(DS5:DS260&lt;DR5:DR260,1,0)*IF(DS5:DS260&gt;0,1,0))),"---",
SUM(IF(DS5:DS260&lt;DR5:DR260,1,0)*IF(DS5:DS260&gt;0,1,0)*(DS5:DS260-DR5:DR260))/
SUM(IF(DS5:DS260&lt;DR5:DR260,1,0)*IF(DS5:DS260&gt;0,1,0)))</f>
        <v>---</v>
      </c>
      <c r="DT289" s="15">
        <f t="array" ref="DT289">IF(ISERROR(SUM(IF(DT5:DT260&lt;DS5:DS260,1,0)*IF(DT5:DT260&gt;0,1,0)*(DT5:DT260-DS5:DS260))/
SUM(IF(DT5:DT260&lt;DS5:DS260,1,0)*IF(DT5:DT260&gt;0,1,0))),"---",
SUM(IF(DT5:DT260&lt;DS5:DS260,1,0)*IF(DT5:DT260&gt;0,1,0)*(DT5:DT260-DS5:DS260))/
SUM(IF(DT5:DT260&lt;DS5:DS260,1,0)*IF(DT5:DT260&gt;0,1,0)))</f>
        <v>-4867.5</v>
      </c>
      <c r="DU289" s="15" t="str">
        <f t="array" ref="DU289">IF(ISERROR(SUM(IF(DU5:DU260&lt;DT5:DT260,1,0)*IF(DU5:DU260&gt;0,1,0)*(DU5:DU260-DT5:DT260))/
SUM(IF(DU5:DU260&lt;DT5:DT260,1,0)*IF(DU5:DU260&gt;0,1,0))),"---",
SUM(IF(DU5:DU260&lt;DT5:DT260,1,0)*IF(DU5:DU260&gt;0,1,0)*(DU5:DU260-DT5:DT260))/
SUM(IF(DU5:DU260&lt;DT5:DT260,1,0)*IF(DU5:DU260&gt;0,1,0)))</f>
        <v>---</v>
      </c>
      <c r="DV289" s="15" t="str">
        <f t="array" ref="DV289">IF(ISERROR(SUM(IF(DV5:DV260&lt;DU5:DU260,1,0)*IF(DV5:DV260&gt;0,1,0)*(DV5:DV260-DU5:DU260))/
SUM(IF(DV5:DV260&lt;DU5:DU260,1,0)*IF(DV5:DV260&gt;0,1,0))),"---",
SUM(IF(DV5:DV260&lt;DU5:DU260,1,0)*IF(DV5:DV260&gt;0,1,0)*(DV5:DV260-DU5:DU260))/
SUM(IF(DV5:DV260&lt;DU5:DU260,1,0)*IF(DV5:DV260&gt;0,1,0)))</f>
        <v>---</v>
      </c>
      <c r="DW289" s="15">
        <f t="array" ref="DW289">IF(ISERROR(SUM(IF(DW5:DW260&lt;DV5:DV260,1,0)*IF(DW5:DW260&gt;0,1,0)*(DW5:DW260-DV5:DV260))/
SUM(IF(DW5:DW260&lt;DV5:DV260,1,0)*IF(DW5:DW260&gt;0,1,0))),"---",
SUM(IF(DW5:DW260&lt;DV5:DV260,1,0)*IF(DW5:DW260&gt;0,1,0)*(DW5:DW260-DV5:DV260))/
SUM(IF(DW5:DW260&lt;DV5:DV260,1,0)*IF(DW5:DW260&gt;0,1,0)))</f>
        <v>-22218.166666666657</v>
      </c>
      <c r="DX289" s="15" t="str">
        <f t="array" ref="DX289">IF(ISERROR(SUM(IF(DX5:DX260&lt;DW5:DW260,1,0)*IF(DX5:DX260&gt;0,1,0)*(DX5:DX260-DW5:DW260))/
SUM(IF(DX5:DX260&lt;DW5:DW260,1,0)*IF(DX5:DX260&gt;0,1,0))),"---",
SUM(IF(DX5:DX260&lt;DW5:DW260,1,0)*IF(DX5:DX260&gt;0,1,0)*(DX5:DX260-DW5:DW260))/
SUM(IF(DX5:DX260&lt;DW5:DW260,1,0)*IF(DX5:DX260&gt;0,1,0)))</f>
        <v>---</v>
      </c>
      <c r="DY289" s="15">
        <f t="array" ref="DY289">IF(ISERROR(SUM(IF(DY5:DY260&lt;DX5:DX260,1,0)*IF(DY5:DY260&gt;0,1,0)*(DY5:DY260-DX5:DX260))/
SUM(IF(DY5:DY260&lt;DX5:DX260,1,0)*IF(DY5:DY260&gt;0,1,0))),"---",
SUM(IF(DY5:DY260&lt;DX5:DX260,1,0)*IF(DY5:DY260&gt;0,1,0)*(DY5:DY260-DX5:DX260))/
SUM(IF(DY5:DY260&lt;DX5:DX260,1,0)*IF(DY5:DY260&gt;0,1,0)))</f>
        <v>-212.5</v>
      </c>
      <c r="DZ289" s="15" t="str">
        <f t="array" ref="DZ289">IF(ISERROR(SUM(IF(DZ5:DZ260&lt;DY5:DY260,1,0)*IF(DZ5:DZ260&gt;0,1,0)*(DZ5:DZ260-DY5:DY260))/
SUM(IF(DZ5:DZ260&lt;DY5:DY260,1,0)*IF(DZ5:DZ260&gt;0,1,0))),"---",
SUM(IF(DZ5:DZ260&lt;DY5:DY260,1,0)*IF(DZ5:DZ260&gt;0,1,0)*(DZ5:DZ260-DY5:DY260))/
SUM(IF(DZ5:DZ260&lt;DY5:DY260,1,0)*IF(DZ5:DZ260&gt;0,1,0)))</f>
        <v>---</v>
      </c>
      <c r="EA289" s="15" t="str">
        <f t="array" ref="EA289">IF(ISERROR(SUM(IF(EA5:EA260&lt;DZ5:DZ260,1,0)*IF(EA5:EA260&gt;0,1,0)*(EA5:EA260-DZ5:DZ260))/
SUM(IF(EA5:EA260&lt;DZ5:DZ260,1,0)*IF(EA5:EA260&gt;0,1,0))),"---",
SUM(IF(EA5:EA260&lt;DZ5:DZ260,1,0)*IF(EA5:EA260&gt;0,1,0)*(EA5:EA260-DZ5:DZ260))/
SUM(IF(EA5:EA260&lt;DZ5:DZ260,1,0)*IF(EA5:EA260&gt;0,1,0)))</f>
        <v>---</v>
      </c>
      <c r="EB289" s="15">
        <f t="array" ref="EB289">IF(ISERROR(SUM(IF(EB5:EB260&lt;EA5:EA260,1,0)*IF(EB5:EB260&gt;0,1,0)*(EB5:EB260-EA5:EA260))/
SUM(IF(EB5:EB260&lt;EA5:EA260,1,0)*IF(EB5:EB260&gt;0,1,0))),"---",
SUM(IF(EB5:EB260&lt;EA5:EA260,1,0)*IF(EB5:EB260&gt;0,1,0)*(EB5:EB260-EA5:EA260))/
SUM(IF(EB5:EB260&lt;EA5:EA260,1,0)*IF(EB5:EB260&gt;0,1,0)))</f>
        <v>-1.9166666666678793</v>
      </c>
      <c r="EC289" s="15">
        <f t="array" ref="EC289">IF(ISERROR(SUM(IF(EC5:EC260&lt;EB5:EB260,1,0)*IF(EC5:EC260&gt;0,1,0)*(EC5:EC260-EB5:EB260))/
SUM(IF(EC5:EC260&lt;EB5:EB260,1,0)*IF(EC5:EC260&gt;0,1,0))),"---",
SUM(IF(EC5:EC260&lt;EB5:EB260,1,0)*IF(EC5:EC260&gt;0,1,0)*(EC5:EC260-EB5:EB260))/
SUM(IF(EC5:EC260&lt;EB5:EB260,1,0)*IF(EC5:EC260&gt;0,1,0)))</f>
        <v>-385.5</v>
      </c>
      <c r="ED289" s="15">
        <f t="array" ref="ED289">IF(ISERROR(SUM(IF(ED5:ED260&lt;EC5:EC260,1,0)*IF(ED5:ED260&gt;0,1,0)*(ED5:ED260-EC5:EC260))/
SUM(IF(ED5:ED260&lt;EC5:EC260,1,0)*IF(ED5:ED260&gt;0,1,0))),"---",
SUM(IF(ED5:ED260&lt;EC5:EC260,1,0)*IF(ED5:ED260&gt;0,1,0)*(ED5:ED260-EC5:EC260))/
SUM(IF(ED5:ED260&lt;EC5:EC260,1,0)*IF(ED5:ED260&gt;0,1,0)))</f>
        <v>-289.33333333333212</v>
      </c>
      <c r="EE289" s="15">
        <f t="array" ref="EE289">IF(ISERROR(SUM(IF(EE5:EE260&lt;ED5:ED260,1,0)*IF(EE5:EE260&gt;0,1,0)*(EE5:EE260-ED5:ED260))/
SUM(IF(EE5:EE260&lt;ED5:ED260,1,0)*IF(EE5:EE260&gt;0,1,0))),"---",
SUM(IF(EE5:EE260&lt;ED5:ED260,1,0)*IF(EE5:EE260&gt;0,1,0)*(EE5:EE260-ED5:ED260))/
SUM(IF(EE5:EE260&lt;ED5:ED260,1,0)*IF(EE5:EE260&gt;0,1,0)))</f>
        <v>-9.1666666666678793</v>
      </c>
      <c r="EF289" s="15" t="str">
        <f t="array" ref="EF289">IF(ISERROR(SUM(IF(EF5:EF260&lt;EE5:EE260,1,0)*IF(EF5:EF260&gt;0,1,0)*(EF5:EF260-EE5:EE260))/
SUM(IF(EF5:EF260&lt;EE5:EE260,1,0)*IF(EF5:EF260&gt;0,1,0))),"---",
SUM(IF(EF5:EF260&lt;EE5:EE260,1,0)*IF(EF5:EF260&gt;0,1,0)*(EF5:EF260-EE5:EE260))/
SUM(IF(EF5:EF260&lt;EE5:EE260,1,0)*IF(EF5:EF260&gt;0,1,0)))</f>
        <v>---</v>
      </c>
      <c r="EG289" s="15">
        <f t="array" ref="EG289">IF(ISERROR(SUM(IF(EG5:EG260&lt;EF5:EF260,1,0)*IF(EG5:EG260&gt;0,1,0)*(EG5:EG260-EF5:EF260))/
SUM(IF(EG5:EG260&lt;EF5:EF260,1,0)*IF(EG5:EG260&gt;0,1,0))),"---",
SUM(IF(EG5:EG260&lt;EF5:EF260,1,0)*IF(EG5:EG260&gt;0,1,0)*(EG5:EG260-EF5:EF260))/
SUM(IF(EG5:EG260&lt;EF5:EF260,1,0)*IF(EG5:EG260&gt;0,1,0)))</f>
        <v>-200.25</v>
      </c>
      <c r="EH289" s="15" t="str">
        <f t="array" ref="EH289">IF(ISERROR(SUM(IF(EH5:EH260&lt;EG5:EG260,1,0)*IF(EH5:EH260&gt;0,1,0)*(EH5:EH260-EG5:EG260))/
SUM(IF(EH5:EH260&lt;EG5:EG260,1,0)*IF(EH5:EH260&gt;0,1,0))),"---",
SUM(IF(EH5:EH260&lt;EG5:EG260,1,0)*IF(EH5:EH260&gt;0,1,0)*(EH5:EH260-EG5:EG260))/
SUM(IF(EH5:EH260&lt;EG5:EG260,1,0)*IF(EH5:EH260&gt;0,1,0)))</f>
        <v>---</v>
      </c>
    </row>
    <row r="290" spans="4:138" customFormat="1" x14ac:dyDescent="0.25">
      <c r="D290" s="5" t="s">
        <v>26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>
        <f t="array" ref="DK290">MIN(IF(DK5:DK260=0,1,0)*IF(DJ5:DJ260&gt;0,1,0)*DJ5:DJ260*-1)</f>
        <v>0</v>
      </c>
      <c r="DL290" s="5">
        <f t="array" ref="DL290">MIN(IF(DL5:DL260=0,1,0)*IF(DK5:DK260&gt;0,1,0)*DK5:DK260*-1)</f>
        <v>0</v>
      </c>
      <c r="DM290" s="5">
        <f t="array" ref="DM290">MIN(IF(DM5:DM260=0,1,0)*IF(DL5:DL260&gt;0,1,0)*DL5:DL260*-1)</f>
        <v>0</v>
      </c>
      <c r="DN290" s="5">
        <f t="array" ref="DN290">MIN(IF(DN5:DN260=0,1,0)*IF(DM5:DM260&gt;0,1,0)*DM5:DM260*-1)</f>
        <v>-450</v>
      </c>
      <c r="DO290" s="5">
        <f t="array" ref="DO290">MIN(IF(DO5:DO260=0,1,0)*IF(DN5:DN260&gt;0,1,0)*DN5:DN260*-1)</f>
        <v>-1080</v>
      </c>
      <c r="DP290" s="5">
        <f t="array" ref="DP290">MIN(IF(DP5:DP260=0,1,0)*IF(DO5:DO260&gt;0,1,0)*DO5:DO260*-1)</f>
        <v>-450</v>
      </c>
      <c r="DQ290" s="5">
        <f t="array" ref="DQ290">MIN(IF(DQ5:DQ260=0,1,0)*IF(DP5:DP260&gt;0,1,0)*DP5:DP260*-1)</f>
        <v>-13440</v>
      </c>
      <c r="DR290" s="5">
        <f t="array" ref="DR290">MIN(IF(DR5:DR260=0,1,0)*IF(DQ5:DQ260&gt;0,1,0)*DQ5:DQ260*-1)</f>
        <v>0</v>
      </c>
      <c r="DS290" s="5">
        <f t="array" ref="DS290">MIN(IF(DS5:DS260=0,1,0)*IF(DR5:DR260&gt;0,1,0)*DR5:DR260*-1)</f>
        <v>-3346</v>
      </c>
      <c r="DT290" s="5">
        <f t="array" ref="DT290">MIN(IF(DT5:DT260=0,1,0)*IF(DS5:DS260&gt;0,1,0)*DS5:DS260*-1)</f>
        <v>-792</v>
      </c>
      <c r="DU290" s="5">
        <f t="array" ref="DU290">MIN(IF(DU5:DU260=0,1,0)*IF(DT5:DT260&gt;0,1,0)*DT5:DT260*-1)</f>
        <v>-450</v>
      </c>
      <c r="DV290" s="5">
        <f t="array" ref="DV290">MIN(IF(DV5:DV260=0,1,0)*IF(DU5:DU260&gt;0,1,0)*DU5:DU260*-1)</f>
        <v>-1675</v>
      </c>
      <c r="DW290" s="5">
        <f t="array" ref="DW290">MIN(IF(DW5:DW260=0,1,0)*IF(DV5:DV260&gt;0,1,0)*DV5:DV260*-1)</f>
        <v>-2792</v>
      </c>
      <c r="DX290" s="5">
        <f t="array" ref="DX290">MIN(IF(DX5:DX260=0,1,0)*IF(DW5:DW260&gt;0,1,0)*DW5:DW260*-1)</f>
        <v>-1733.5</v>
      </c>
      <c r="DY290" s="5">
        <f t="array" ref="DY290">MIN(IF(DY5:DY260=0,1,0)*IF(DX5:DX260&gt;0,1,0)*DX5:DX260*-1)</f>
        <v>-1250</v>
      </c>
      <c r="DZ290" s="5">
        <f t="array" ref="DZ290">MIN(IF(DZ5:DZ260=0,1,0)*IF(DY5:DY260&gt;0,1,0)*DY5:DY260*-1)</f>
        <v>-1540</v>
      </c>
      <c r="EA290" s="5">
        <f t="array" ref="EA290">MIN(IF(EA5:EA260=0,1,0)*IF(DZ5:DZ260&gt;0,1,0)*DZ5:DZ260*-1)</f>
        <v>-1310</v>
      </c>
      <c r="EB290" s="5">
        <f t="array" ref="EB290">MIN(IF(EB5:EB260=0,1,0)*IF(EA5:EA260&gt;0,1,0)*EA5:EA260*-1)</f>
        <v>-1701</v>
      </c>
      <c r="EC290" s="5">
        <f t="array" ref="EC290">MIN(IF(EC5:EC260=0,1,0)*IF(EB5:EB260&gt;0,1,0)*EB5:EB260*-1)</f>
        <v>0</v>
      </c>
      <c r="ED290" s="5">
        <f t="array" ref="ED290">MIN(IF(ED5:ED260=0,1,0)*IF(EC5:EC260&gt;0,1,0)*EC5:EC260*-1)</f>
        <v>0</v>
      </c>
      <c r="EE290" s="5">
        <f t="array" ref="EE290">MIN(IF(EE5:EE260=0,1,0)*IF(ED5:ED260&gt;0,1,0)*ED5:ED260*-1)</f>
        <v>0</v>
      </c>
      <c r="EF290" s="5">
        <f t="array" ref="EF290">MIN(IF(EF5:EF260=0,1,0)*IF(EE5:EE260&gt;0,1,0)*EE5:EE260*-1)</f>
        <v>-10661.5</v>
      </c>
      <c r="EG290" s="5">
        <f t="array" ref="EG290">MIN(IF(EG5:EG260=0,1,0)*IF(EF5:EF260&gt;0,1,0)*EF5:EF260*-1)</f>
        <v>0</v>
      </c>
      <c r="EH290" s="5">
        <f t="array" ref="EH290">MIN(IF(EH5:EH260=0,1,0)*IF(EG5:EG260&gt;0,1,0)*EG5:EG260*-1)</f>
        <v>0</v>
      </c>
    </row>
    <row r="291" spans="4:138" customFormat="1" x14ac:dyDescent="0.25">
      <c r="D291" s="5" t="s">
        <v>27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15" t="str">
        <f t="array" ref="DK291">IF(ISERROR(SUM(IF(DK5:DK260=0,1,0)*IF(DJ5:DJ260&gt;0,1,0)*DJ5:DJ260*-1)/SUM(IF(DK5:DK260=0,1,0)*IF(DJ5:DJ260&gt;0,1,0))),"---",SUM(IF(DK5:DK260=0,1,0)*IF(DJ5:DJ260&gt;0,1,0)*DJ5:DJ260*-1)/SUM(IF(DK5:DK260=0,1,0)*IF(DJ5:DJ260&gt;0,1,0)))</f>
        <v>---</v>
      </c>
      <c r="DL291" s="15" t="str">
        <f t="array" ref="DL291">IF(ISERROR(SUM(IF(DL5:DL260=0,1,0)*IF(DK5:DK260&gt;0,1,0)*DK5:DK260*-1)/SUM(IF(DL5:DL260=0,1,0)*IF(DK5:DK260&gt;0,1,0))),"---",SUM(IF(DL5:DL260=0,1,0)*IF(DK5:DK260&gt;0,1,0)*DK5:DK260*-1)/SUM(IF(DL5:DL260=0,1,0)*IF(DK5:DK260&gt;0,1,0)))</f>
        <v>---</v>
      </c>
      <c r="DM291" s="15" t="str">
        <f t="array" ref="DM291">IF(ISERROR(SUM(IF(DM5:DM260=0,1,0)*IF(DL5:DL260&gt;0,1,0)*DL5:DL260*-1)/SUM(IF(DM5:DM260=0,1,0)*IF(DL5:DL260&gt;0,1,0))),"---",SUM(IF(DM5:DM260=0,1,0)*IF(DL5:DL260&gt;0,1,0)*DL5:DL260*-1)/SUM(IF(DM5:DM260=0,1,0)*IF(DL5:DL260&gt;0,1,0)))</f>
        <v>---</v>
      </c>
      <c r="DN291" s="15">
        <f t="array" ref="DN291">IF(ISERROR(SUM(IF(DN5:DN260=0,1,0)*IF(DM5:DM260&gt;0,1,0)*DM5:DM260*-1)/SUM(IF(DN5:DN260=0,1,0)*IF(DM5:DM260&gt;0,1,0))),"---",SUM(IF(DN5:DN260=0,1,0)*IF(DM5:DM260&gt;0,1,0)*DM5:DM260*-1)/SUM(IF(DN5:DN260=0,1,0)*IF(DM5:DM260&gt;0,1,0)))</f>
        <v>-450</v>
      </c>
      <c r="DO291" s="15">
        <f t="array" ref="DO291">IF(ISERROR(SUM(IF(DO5:DO260=0,1,0)*IF(DN5:DN260&gt;0,1,0)*DN5:DN260*-1)/SUM(IF(DO5:DO260=0,1,0)*IF(DN5:DN260&gt;0,1,0))),"---",SUM(IF(DO5:DO260=0,1,0)*IF(DN5:DN260&gt;0,1,0)*DN5:DN260*-1)/SUM(IF(DO5:DO260=0,1,0)*IF(DN5:DN260&gt;0,1,0)))</f>
        <v>-810</v>
      </c>
      <c r="DP291" s="15">
        <f t="array" ref="DP291">IF(ISERROR(SUM(IF(DP5:DP260=0,1,0)*IF(DO5:DO260&gt;0,1,0)*DO5:DO260*-1)/SUM(IF(DP5:DP260=0,1,0)*IF(DO5:DO260&gt;0,1,0))),"---",SUM(IF(DP5:DP260=0,1,0)*IF(DO5:DO260&gt;0,1,0)*DO5:DO260*-1)/SUM(IF(DP5:DP260=0,1,0)*IF(DO5:DO260&gt;0,1,0)))</f>
        <v>-450</v>
      </c>
      <c r="DQ291" s="15">
        <f t="array" ref="DQ291">IF(ISERROR(SUM(IF(DQ5:DQ260=0,1,0)*IF(DP5:DP260&gt;0,1,0)*DP5:DP260*-1)/SUM(IF(DQ5:DQ260=0,1,0)*IF(DP5:DP260&gt;0,1,0))),"---",SUM(IF(DQ5:DQ260=0,1,0)*IF(DP5:DP260&gt;0,1,0)*DP5:DP260*-1)/SUM(IF(DQ5:DQ260=0,1,0)*IF(DP5:DP260&gt;0,1,0)))</f>
        <v>-4074.9791666666665</v>
      </c>
      <c r="DR291" s="15" t="str">
        <f t="array" ref="DR291">IF(ISERROR(SUM(IF(DR5:DR260=0,1,0)*IF(DQ5:DQ260&gt;0,1,0)*DQ5:DQ260*-1)/SUM(IF(DR5:DR260=0,1,0)*IF(DQ5:DQ260&gt;0,1,0))),"---",SUM(IF(DR5:DR260=0,1,0)*IF(DQ5:DQ260&gt;0,1,0)*DQ5:DQ260*-1)/SUM(IF(DR5:DR260=0,1,0)*IF(DQ5:DQ260&gt;0,1,0)))</f>
        <v>---</v>
      </c>
      <c r="DS291" s="15">
        <f t="array" ref="DS291">IF(ISERROR(SUM(IF(DS5:DS260=0,1,0)*IF(DR5:DR260&gt;0,1,0)*DR5:DR260*-1)/SUM(IF(DS5:DS260=0,1,0)*IF(DR5:DR260&gt;0,1,0))),"---",SUM(IF(DS5:DS260=0,1,0)*IF(DR5:DR260&gt;0,1,0)*DR5:DR260*-1)/SUM(IF(DS5:DS260=0,1,0)*IF(DR5:DR260&gt;0,1,0)))</f>
        <v>-1876.4583333333333</v>
      </c>
      <c r="DT291" s="15">
        <f t="array" ref="DT291">IF(ISERROR(SUM(IF(DT5:DT260=0,1,0)*IF(DS5:DS260&gt;0,1,0)*DS5:DS260*-1)/SUM(IF(DT5:DT260=0,1,0)*IF(DS5:DS260&gt;0,1,0))),"---",SUM(IF(DT5:DT260=0,1,0)*IF(DS5:DS260&gt;0,1,0)*DS5:DS260*-1)/SUM(IF(DT5:DT260=0,1,0)*IF(DS5:DS260&gt;0,1,0)))</f>
        <v>-644.875</v>
      </c>
      <c r="DU291" s="15">
        <f t="array" ref="DU291">IF(ISERROR(SUM(IF(DU5:DU260=0,1,0)*IF(DT5:DT260&gt;0,1,0)*DT5:DT260*-1)/SUM(IF(DU5:DU260=0,1,0)*IF(DT5:DT260&gt;0,1,0))),"---",SUM(IF(DU5:DU260=0,1,0)*IF(DT5:DT260&gt;0,1,0)*DT5:DT260*-1)/SUM(IF(DU5:DU260=0,1,0)*IF(DT5:DT260&gt;0,1,0)))</f>
        <v>-450</v>
      </c>
      <c r="DV291" s="15">
        <f t="array" ref="DV291">IF(ISERROR(SUM(IF(DV5:DV260=0,1,0)*IF(DU5:DU260&gt;0,1,0)*DU5:DU260*-1)/SUM(IF(DV5:DV260=0,1,0)*IF(DU5:DU260&gt;0,1,0))),"---",SUM(IF(DV5:DV260=0,1,0)*IF(DU5:DU260&gt;0,1,0)*DU5:DU260*-1)/SUM(IF(DV5:DV260=0,1,0)*IF(DU5:DU260&gt;0,1,0)))</f>
        <v>-922.5</v>
      </c>
      <c r="DW291" s="15">
        <f t="array" ref="DW291">IF(ISERROR(SUM(IF(DW5:DW260=0,1,0)*IF(DV5:DV260&gt;0,1,0)*DV5:DV260*-1)/SUM(IF(DW5:DW260=0,1,0)*IF(DV5:DV260&gt;0,1,0))),"---",SUM(IF(DW5:DW260=0,1,0)*IF(DV5:DV260&gt;0,1,0)*DV5:DV260*-1)/SUM(IF(DW5:DW260=0,1,0)*IF(DV5:DV260&gt;0,1,0)))</f>
        <v>-1230.6666666666667</v>
      </c>
      <c r="DX291" s="15">
        <f t="array" ref="DX291">IF(ISERROR(SUM(IF(DX5:DX260=0,1,0)*IF(DW5:DW260&gt;0,1,0)*DW5:DW260*-1)/SUM(IF(DX5:DX260=0,1,0)*IF(DW5:DW260&gt;0,1,0))),"---",SUM(IF(DX5:DX260=0,1,0)*IF(DW5:DW260&gt;0,1,0)*DW5:DW260*-1)/SUM(IF(DX5:DX260=0,1,0)*IF(DW5:DW260&gt;0,1,0)))</f>
        <v>-1586.75</v>
      </c>
      <c r="DY291" s="15">
        <f t="array" ref="DY291">IF(ISERROR(SUM(IF(DY5:DY260=0,1,0)*IF(DX5:DX260&gt;0,1,0)*DX5:DX260*-1)/SUM(IF(DY5:DY260=0,1,0)*IF(DX5:DX260&gt;0,1,0))),"---",SUM(IF(DY5:DY260=0,1,0)*IF(DX5:DX260&gt;0,1,0)*DX5:DX260*-1)/SUM(IF(DY5:DY260=0,1,0)*IF(DX5:DX260&gt;0,1,0)))</f>
        <v>-1250</v>
      </c>
      <c r="DZ291" s="15">
        <f t="array" ref="DZ291">IF(ISERROR(SUM(IF(DZ5:DZ260=0,1,0)*IF(DY5:DY260&gt;0,1,0)*DY5:DY260*-1)/SUM(IF(DZ5:DZ260=0,1,0)*IF(DY5:DY260&gt;0,1,0))),"---",SUM(IF(DZ5:DZ260=0,1,0)*IF(DY5:DY260&gt;0,1,0)*DY5:DY260*-1)/SUM(IF(DZ5:DZ260=0,1,0)*IF(DY5:DY260&gt;0,1,0)))</f>
        <v>-1120</v>
      </c>
      <c r="EA291" s="15">
        <f t="array" ref="EA291">IF(ISERROR(SUM(IF(EA5:EA260=0,1,0)*IF(DZ5:DZ260&gt;0,1,0)*DZ5:DZ260*-1)/SUM(IF(EA5:EA260=0,1,0)*IF(DZ5:DZ260&gt;0,1,0))),"---",SUM(IF(EA5:EA260=0,1,0)*IF(DZ5:DZ260&gt;0,1,0)*DZ5:DZ260*-1)/SUM(IF(EA5:EA260=0,1,0)*IF(DZ5:DZ260&gt;0,1,0)))</f>
        <v>-1310</v>
      </c>
      <c r="EB291" s="15">
        <f t="array" ref="EB291">IF(ISERROR(SUM(IF(EB5:EB260=0,1,0)*IF(EA5:EA260&gt;0,1,0)*EA5:EA260*-1)/SUM(IF(EB5:EB260=0,1,0)*IF(EA5:EA260&gt;0,1,0))),"---",SUM(IF(EB5:EB260=0,1,0)*IF(EA5:EA260&gt;0,1,0)*EA5:EA260*-1)/SUM(IF(EB5:EB260=0,1,0)*IF(EA5:EA260&gt;0,1,0)))</f>
        <v>-859.5</v>
      </c>
      <c r="EC291" s="15" t="str">
        <f t="array" ref="EC291">IF(ISERROR(SUM(IF(EC5:EC260=0,1,0)*IF(EB5:EB260&gt;0,1,0)*EB5:EB260*-1)/SUM(IF(EC5:EC260=0,1,0)*IF(EB5:EB260&gt;0,1,0))),"---",SUM(IF(EC5:EC260=0,1,0)*IF(EB5:EB260&gt;0,1,0)*EB5:EB260*-1)/SUM(IF(EC5:EC260=0,1,0)*IF(EB5:EB260&gt;0,1,0)))</f>
        <v>---</v>
      </c>
      <c r="ED291" s="15" t="str">
        <f t="array" ref="ED291">IF(ISERROR(SUM(IF(ED5:ED260=0,1,0)*IF(EC5:EC260&gt;0,1,0)*EC5:EC260*-1)/SUM(IF(ED5:ED260=0,1,0)*IF(EC5:EC260&gt;0,1,0))),"---",SUM(IF(ED5:ED260=0,1,0)*IF(EC5:EC260&gt;0,1,0)*EC5:EC260*-1)/SUM(IF(ED5:ED260=0,1,0)*IF(EC5:EC260&gt;0,1,0)))</f>
        <v>---</v>
      </c>
      <c r="EE291" s="15" t="str">
        <f t="array" ref="EE291">IF(ISERROR(SUM(IF(EE5:EE260=0,1,0)*IF(ED5:ED260&gt;0,1,0)*ED5:ED260*-1)/SUM(IF(EE5:EE260=0,1,0)*IF(ED5:ED260&gt;0,1,0))),"---",SUM(IF(EE5:EE260=0,1,0)*IF(ED5:ED260&gt;0,1,0)*ED5:ED260*-1)/SUM(IF(EE5:EE260=0,1,0)*IF(ED5:ED260&gt;0,1,0)))</f>
        <v>---</v>
      </c>
      <c r="EF291" s="15">
        <f t="array" ref="EF291">IF(ISERROR(SUM(IF(EF5:EF260=0,1,0)*IF(EE5:EE260&gt;0,1,0)*EE5:EE260*-1)/SUM(IF(EF5:EF260=0,1,0)*IF(EE5:EE260&gt;0,1,0))),"---",SUM(IF(EF5:EF260=0,1,0)*IF(EE5:EE260&gt;0,1,0)*EE5:EE260*-1)/SUM(IF(EF5:EF260=0,1,0)*IF(EE5:EE260&gt;0,1,0)))</f>
        <v>-3395.5952380952381</v>
      </c>
      <c r="EG291" s="15" t="str">
        <f t="array" ref="EG291">IF(ISERROR(SUM(IF(EG5:EG260=0,1,0)*IF(EF5:EF260&gt;0,1,0)*EF5:EF260*-1)/SUM(IF(EG5:EG260=0,1,0)*IF(EF5:EF260&gt;0,1,0))),"---",SUM(IF(EG5:EG260=0,1,0)*IF(EF5:EF260&gt;0,1,0)*EF5:EF260*-1)/SUM(IF(EG5:EG260=0,1,0)*IF(EF5:EF260&gt;0,1,0)))</f>
        <v>---</v>
      </c>
      <c r="EH291" s="15" t="str">
        <f t="array" ref="EH291">IF(ISERROR(SUM(IF(EH5:EH260=0,1,0)*IF(EG5:EG260&gt;0,1,0)*EG5:EG260*-1)/SUM(IF(EH5:EH260=0,1,0)*IF(EG5:EG260&gt;0,1,0))),"---",SUM(IF(EH5:EH260=0,1,0)*IF(EG5:EG260&gt;0,1,0)*EG5:EG260*-1)/SUM(IF(EH5:EH260=0,1,0)*IF(EG5:EG260&gt;0,1,0)))</f>
        <v>---</v>
      </c>
    </row>
    <row r="292" spans="4:138" customFormat="1" x14ac:dyDescent="0.25"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</row>
    <row r="293" spans="4:138" customFormat="1" x14ac:dyDescent="0.25">
      <c r="D293" s="12" t="s">
        <v>28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</row>
    <row r="294" spans="4:138" customFormat="1" x14ac:dyDescent="0.25">
      <c r="D294" s="16" t="s">
        <v>2</v>
      </c>
      <c r="E294" s="5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>
        <f t="shared" ref="DK294:EH294" si="23">DJ297</f>
        <v>0</v>
      </c>
      <c r="DL294" s="16">
        <f t="shared" si="23"/>
        <v>71</v>
      </c>
      <c r="DM294" s="16">
        <f t="shared" si="23"/>
        <v>76</v>
      </c>
      <c r="DN294" s="16">
        <f t="shared" si="23"/>
        <v>80</v>
      </c>
      <c r="DO294" s="16">
        <f t="shared" si="23"/>
        <v>83</v>
      </c>
      <c r="DP294" s="16">
        <f t="shared" si="23"/>
        <v>86</v>
      </c>
      <c r="DQ294" s="16">
        <f t="shared" si="23"/>
        <v>90</v>
      </c>
      <c r="DR294" s="16">
        <f t="shared" si="23"/>
        <v>92</v>
      </c>
      <c r="DS294" s="16">
        <f t="shared" si="23"/>
        <v>99</v>
      </c>
      <c r="DT294" s="16">
        <f t="shared" si="23"/>
        <v>100</v>
      </c>
      <c r="DU294" s="16">
        <f t="shared" si="23"/>
        <v>98</v>
      </c>
      <c r="DV294" s="16">
        <f t="shared" si="23"/>
        <v>99</v>
      </c>
      <c r="DW294" s="16">
        <f t="shared" si="23"/>
        <v>95</v>
      </c>
      <c r="DX294" s="16">
        <f t="shared" si="23"/>
        <v>94</v>
      </c>
      <c r="DY294" s="16">
        <f t="shared" si="23"/>
        <v>94</v>
      </c>
      <c r="DZ294" s="16">
        <f t="shared" si="23"/>
        <v>98</v>
      </c>
      <c r="EA294" s="16">
        <f t="shared" si="23"/>
        <v>96</v>
      </c>
      <c r="EB294" s="16">
        <f t="shared" si="23"/>
        <v>98</v>
      </c>
      <c r="EC294" s="16">
        <f t="shared" si="23"/>
        <v>104</v>
      </c>
      <c r="ED294" s="16">
        <f t="shared" si="23"/>
        <v>104</v>
      </c>
      <c r="EE294" s="16">
        <f t="shared" si="23"/>
        <v>107</v>
      </c>
      <c r="EF294" s="16">
        <f t="shared" si="23"/>
        <v>111</v>
      </c>
      <c r="EG294" s="16">
        <f t="shared" si="23"/>
        <v>105</v>
      </c>
      <c r="EH294" s="16">
        <f t="shared" si="23"/>
        <v>112</v>
      </c>
    </row>
    <row r="295" spans="4:138" customFormat="1" x14ac:dyDescent="0.25">
      <c r="D295" s="16" t="s">
        <v>29</v>
      </c>
      <c r="E295" s="5"/>
      <c r="F295" s="16"/>
      <c r="DK295" s="16">
        <f t="array" ref="DK295">SUM(IF(DK5:DK260&gt;0,1,0)*IF(DJ5:DJ260=0,1,0))</f>
        <v>71</v>
      </c>
      <c r="DL295" s="16">
        <f t="array" ref="DL295">SUM(IF(DL5:DL260&gt;0,1,0)*IF(DK5:DK260=0,1,0))</f>
        <v>5</v>
      </c>
      <c r="DM295" s="16">
        <f t="array" ref="DM295">SUM(IF(DM5:DM260&gt;0,1,0)*IF(DL5:DL260=0,1,0))</f>
        <v>4</v>
      </c>
      <c r="DN295" s="16">
        <f t="array" ref="DN295">SUM(IF(DN5:DN260&gt;0,1,0)*IF(DM5:DM260=0,1,0))</f>
        <v>4</v>
      </c>
      <c r="DO295" s="16">
        <f t="array" ref="DO295">SUM(IF(DO5:DO260&gt;0,1,0)*IF(DN5:DN260=0,1,0))</f>
        <v>5</v>
      </c>
      <c r="DP295" s="16">
        <f t="array" ref="DP295">SUM(IF(DP5:DP260&gt;0,1,0)*IF(DO5:DO260=0,1,0))</f>
        <v>5</v>
      </c>
      <c r="DQ295" s="16">
        <f t="array" ref="DQ295">SUM(IF(DQ5:DQ260&gt;0,1,0)*IF(DP5:DP260=0,1,0))</f>
        <v>6</v>
      </c>
      <c r="DR295" s="16">
        <f t="array" ref="DR295">SUM(IF(DR5:DR260&gt;0,1,0)*IF(DQ5:DQ260=0,1,0))</f>
        <v>7</v>
      </c>
      <c r="DS295" s="16">
        <f t="array" ref="DS295">SUM(IF(DS5:DS260&gt;0,1,0)*IF(DR5:DR260=0,1,0))</f>
        <v>5</v>
      </c>
      <c r="DT295" s="16">
        <f t="array" ref="DT295">SUM(IF(DT5:DT260&gt;0,1,0)*IF(DS5:DS260=0,1,0))</f>
        <v>2</v>
      </c>
      <c r="DU295" s="16">
        <f t="array" ref="DU295">SUM(IF(DU5:DU260&gt;0,1,0)*IF(DT5:DT260=0,1,0))</f>
        <v>2</v>
      </c>
      <c r="DV295" s="16">
        <f t="array" ref="DV295">SUM(IF(DV5:DV260&gt;0,1,0)*IF(DU5:DU260=0,1,0))</f>
        <v>1</v>
      </c>
      <c r="DW295" s="16">
        <f t="array" ref="DW295">SUM(IF(DW5:DW260&gt;0,1,0)*IF(DV5:DV260=0,1,0))</f>
        <v>2</v>
      </c>
      <c r="DX295" s="16">
        <f t="array" ref="DX295">SUM(IF(DX5:DX260&gt;0,1,0)*IF(DW5:DW260=0,1,0))</f>
        <v>2</v>
      </c>
      <c r="DY295" s="16">
        <f t="array" ref="DY295">SUM(IF(DY5:DY260&gt;0,1,0)*IF(DX5:DX260=0,1,0))</f>
        <v>5</v>
      </c>
      <c r="DZ295" s="16">
        <f t="array" ref="DZ295">SUM(IF(DZ5:DZ260&gt;0,1,0)*IF(DY5:DY260=0,1,0))</f>
        <v>0</v>
      </c>
      <c r="EA295" s="16">
        <f t="array" ref="EA295">SUM(IF(EA5:EA260&gt;0,1,0)*IF(DZ5:DZ260=0,1,0))</f>
        <v>3</v>
      </c>
      <c r="EB295" s="16">
        <f t="array" ref="EB295">SUM(IF(EB5:EB260&gt;0,1,0)*IF(EA5:EA260=0,1,0))</f>
        <v>9</v>
      </c>
      <c r="EC295" s="16">
        <f t="array" ref="EC295">SUM(IF(EC5:EC260&gt;0,1,0)*IF(EB5:EB260=0,1,0))</f>
        <v>0</v>
      </c>
      <c r="ED295" s="16">
        <f t="array" ref="ED295">SUM(IF(ED5:ED260&gt;0,1,0)*IF(EC5:EC260=0,1,0))</f>
        <v>3</v>
      </c>
      <c r="EE295" s="16">
        <f t="array" ref="EE295">SUM(IF(EE5:EE260&gt;0,1,0)*IF(ED5:ED260=0,1,0))</f>
        <v>4</v>
      </c>
      <c r="EF295" s="16">
        <f t="array" ref="EF295">SUM(IF(EF5:EF260&gt;0,1,0)*IF(EE5:EE260=0,1,0))</f>
        <v>1</v>
      </c>
      <c r="EG295" s="16">
        <f t="array" ref="EG295">SUM(IF(EG5:EG260&gt;0,1,0)*IF(EF5:EF260=0,1,0))</f>
        <v>7</v>
      </c>
      <c r="EH295" s="16">
        <f t="array" ref="EH295">SUM(IF(EH5:EH260&gt;0,1,0)*IF(EG5:EG260=0,1,0))</f>
        <v>6</v>
      </c>
    </row>
    <row r="296" spans="4:138" customFormat="1" x14ac:dyDescent="0.25">
      <c r="D296" s="16" t="s">
        <v>6</v>
      </c>
      <c r="E296" s="5"/>
      <c r="F296" s="16"/>
      <c r="DK296" s="17">
        <f t="array" ref="DK296">SUM(IF(DK5:DK260=0,1,0)*IF(DJ5:DJ260&gt;0,1,0))*-1</f>
        <v>0</v>
      </c>
      <c r="DL296" s="17">
        <f t="array" ref="DL296">SUM(IF(DL5:DL260=0,1,0)*IF(DK5:DK260&gt;0,1,0))*-1</f>
        <v>0</v>
      </c>
      <c r="DM296" s="17">
        <f t="array" ref="DM296">SUM(IF(DM5:DM260=0,1,0)*IF(DL5:DL260&gt;0,1,0))*-1</f>
        <v>0</v>
      </c>
      <c r="DN296" s="17">
        <f t="array" ref="DN296">SUM(IF(DN5:DN260=0,1,0)*IF(DM5:DM260&gt;0,1,0))*-1</f>
        <v>-1</v>
      </c>
      <c r="DO296" s="17">
        <f t="array" ref="DO296">SUM(IF(DO5:DO260=0,1,0)*IF(DN5:DN260&gt;0,1,0))*-1</f>
        <v>-2</v>
      </c>
      <c r="DP296" s="17">
        <f t="array" ref="DP296">SUM(IF(DP5:DP260=0,1,0)*IF(DO5:DO260&gt;0,1,0))*-1</f>
        <v>-1</v>
      </c>
      <c r="DQ296" s="17">
        <f t="array" ref="DQ296">SUM(IF(DQ5:DQ260=0,1,0)*IF(DP5:DP260&gt;0,1,0))*-1</f>
        <v>-4</v>
      </c>
      <c r="DR296" s="17">
        <f t="array" ref="DR296">SUM(IF(DR5:DR260=0,1,0)*IF(DQ5:DQ260&gt;0,1,0))*-1</f>
        <v>0</v>
      </c>
      <c r="DS296" s="17">
        <f t="array" ref="DS296">SUM(IF(DS5:DS260=0,1,0)*IF(DR5:DR260&gt;0,1,0))*-1</f>
        <v>-4</v>
      </c>
      <c r="DT296" s="17">
        <f t="array" ref="DT296">SUM(IF(DT5:DT260=0,1,0)*IF(DS5:DS260&gt;0,1,0))*-1</f>
        <v>-4</v>
      </c>
      <c r="DU296" s="17">
        <f t="array" ref="DU296">SUM(IF(DU5:DU260=0,1,0)*IF(DT5:DT260&gt;0,1,0))*-1</f>
        <v>-1</v>
      </c>
      <c r="DV296" s="17">
        <f t="array" ref="DV296">SUM(IF(DV5:DV260=0,1,0)*IF(DU5:DU260&gt;0,1,0))*-1</f>
        <v>-5</v>
      </c>
      <c r="DW296" s="17">
        <f t="array" ref="DW296">SUM(IF(DW5:DW260=0,1,0)*IF(DV5:DV260&gt;0,1,0))*-1</f>
        <v>-3</v>
      </c>
      <c r="DX296" s="17">
        <f t="array" ref="DX296">SUM(IF(DX5:DX260=0,1,0)*IF(DW5:DW260&gt;0,1,0))*-1</f>
        <v>-2</v>
      </c>
      <c r="DY296" s="17">
        <f t="array" ref="DY296">SUM(IF(DY5:DY260=0,1,0)*IF(DX5:DX260&gt;0,1,0))*-1</f>
        <v>-1</v>
      </c>
      <c r="DZ296" s="17">
        <f t="array" ref="DZ296">SUM(IF(DZ5:DZ260=0,1,0)*IF(DY5:DY260&gt;0,1,0))*-1</f>
        <v>-2</v>
      </c>
      <c r="EA296" s="17">
        <f t="array" ref="EA296">SUM(IF(EA5:EA260=0,1,0)*IF(DZ5:DZ260&gt;0,1,0))*-1</f>
        <v>-1</v>
      </c>
      <c r="EB296" s="17">
        <f t="array" ref="EB296">SUM(IF(EB5:EB260=0,1,0)*IF(EA5:EA260&gt;0,1,0))*-1</f>
        <v>-3</v>
      </c>
      <c r="EC296" s="17">
        <f t="array" ref="EC296">SUM(IF(EC5:EC260=0,1,0)*IF(EB5:EB260&gt;0,1,0))*-1</f>
        <v>0</v>
      </c>
      <c r="ED296" s="17">
        <f t="array" ref="ED296">SUM(IF(ED5:ED260=0,1,0)*IF(EC5:EC260&gt;0,1,0))*-1</f>
        <v>0</v>
      </c>
      <c r="EE296" s="17">
        <f t="array" ref="EE296">SUM(IF(EE5:EE260=0,1,0)*IF(ED5:ED260&gt;0,1,0))*-1</f>
        <v>0</v>
      </c>
      <c r="EF296" s="17">
        <f t="array" ref="EF296">SUM(IF(EF5:EF260=0,1,0)*IF(EE5:EE260&gt;0,1,0))*-1</f>
        <v>-7</v>
      </c>
      <c r="EG296" s="17">
        <f t="array" ref="EG296">SUM(IF(EG5:EG260=0,1,0)*IF(EF5:EF260&gt;0,1,0))*-1</f>
        <v>0</v>
      </c>
      <c r="EH296" s="17">
        <f t="array" ref="EH296">SUM(IF(EH5:EH260=0,1,0)*IF(EG5:EG260&gt;0,1,0))*-1</f>
        <v>0</v>
      </c>
    </row>
    <row r="297" spans="4:138" customFormat="1" x14ac:dyDescent="0.25">
      <c r="D297" s="18" t="s">
        <v>7</v>
      </c>
      <c r="E297" s="11"/>
      <c r="F297" s="18"/>
      <c r="DK297" s="18">
        <f t="shared" ref="DK297:ED297" si="24">SUM(DK294:DK296)</f>
        <v>71</v>
      </c>
      <c r="DL297" s="18">
        <f t="shared" si="24"/>
        <v>76</v>
      </c>
      <c r="DM297" s="18">
        <f t="shared" si="24"/>
        <v>80</v>
      </c>
      <c r="DN297" s="18">
        <f t="shared" si="24"/>
        <v>83</v>
      </c>
      <c r="DO297" s="18">
        <f t="shared" si="24"/>
        <v>86</v>
      </c>
      <c r="DP297" s="18">
        <f t="shared" si="24"/>
        <v>90</v>
      </c>
      <c r="DQ297" s="18">
        <f t="shared" si="24"/>
        <v>92</v>
      </c>
      <c r="DR297" s="18">
        <f t="shared" si="24"/>
        <v>99</v>
      </c>
      <c r="DS297" s="18">
        <f t="shared" si="24"/>
        <v>100</v>
      </c>
      <c r="DT297" s="18">
        <f t="shared" si="24"/>
        <v>98</v>
      </c>
      <c r="DU297" s="18">
        <f t="shared" si="24"/>
        <v>99</v>
      </c>
      <c r="DV297" s="18">
        <f t="shared" si="24"/>
        <v>95</v>
      </c>
      <c r="DW297" s="18">
        <f t="shared" si="24"/>
        <v>94</v>
      </c>
      <c r="DX297" s="18">
        <f t="shared" si="24"/>
        <v>94</v>
      </c>
      <c r="DY297" s="18">
        <f t="shared" si="24"/>
        <v>98</v>
      </c>
      <c r="DZ297" s="18">
        <f t="shared" si="24"/>
        <v>96</v>
      </c>
      <c r="EA297" s="18">
        <f t="shared" si="24"/>
        <v>98</v>
      </c>
      <c r="EB297" s="18">
        <f t="shared" si="24"/>
        <v>104</v>
      </c>
      <c r="EC297" s="18">
        <f t="shared" si="24"/>
        <v>104</v>
      </c>
      <c r="ED297" s="18">
        <f t="shared" si="24"/>
        <v>107</v>
      </c>
      <c r="EE297" s="18">
        <f t="shared" ref="EE297:EH297" si="25">SUM(EE294:EE296)</f>
        <v>111</v>
      </c>
      <c r="EF297" s="18">
        <f t="shared" si="25"/>
        <v>105</v>
      </c>
      <c r="EG297" s="18">
        <f t="shared" si="25"/>
        <v>112</v>
      </c>
      <c r="EH297" s="18">
        <f t="shared" si="25"/>
        <v>118</v>
      </c>
    </row>
    <row r="298" spans="4:138" customFormat="1" x14ac:dyDescent="0.25">
      <c r="D298" s="5" t="s">
        <v>30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>
        <f t="shared" ref="DK298:EH298" si="26">DK267/DK297*12</f>
        <v>50613.042253521126</v>
      </c>
      <c r="DL298" s="5">
        <f t="shared" si="26"/>
        <v>49182.894736842107</v>
      </c>
      <c r="DM298" s="5">
        <f t="shared" si="26"/>
        <v>47227.55</v>
      </c>
      <c r="DN298" s="5">
        <f t="shared" si="26"/>
        <v>46292.759036144584</v>
      </c>
      <c r="DO298" s="5">
        <f t="shared" si="26"/>
        <v>45423.930232558145</v>
      </c>
      <c r="DP298" s="5">
        <f t="shared" si="26"/>
        <v>43706.944444444453</v>
      </c>
      <c r="DQ298" s="5">
        <f t="shared" si="26"/>
        <v>43515.59782608696</v>
      </c>
      <c r="DR298" s="5">
        <f t="shared" si="26"/>
        <v>41250.171717171717</v>
      </c>
      <c r="DS298" s="5">
        <f t="shared" si="26"/>
        <v>41137.22</v>
      </c>
      <c r="DT298" s="5">
        <f t="shared" si="26"/>
        <v>49244.42857142858</v>
      </c>
      <c r="DU298" s="5">
        <f t="shared" si="26"/>
        <v>49059.050505050502</v>
      </c>
      <c r="DV298" s="5">
        <f t="shared" si="26"/>
        <v>52487.273684210522</v>
      </c>
      <c r="DW298" s="5">
        <f t="shared" si="26"/>
        <v>53568.095744680853</v>
      </c>
      <c r="DX298" s="5">
        <f t="shared" si="26"/>
        <v>56446.914893617024</v>
      </c>
      <c r="DY298" s="5">
        <f t="shared" si="26"/>
        <v>55688.265306122456</v>
      </c>
      <c r="DZ298" s="5">
        <f t="shared" si="26"/>
        <v>57131.645833333336</v>
      </c>
      <c r="EA298" s="5">
        <f t="shared" si="26"/>
        <v>56373.285714285725</v>
      </c>
      <c r="EB298" s="5">
        <f t="shared" si="26"/>
        <v>57163.990384615383</v>
      </c>
      <c r="EC298" s="5">
        <f t="shared" si="26"/>
        <v>57119.509615384617</v>
      </c>
      <c r="ED298" s="5">
        <f t="shared" si="26"/>
        <v>56170.588785046733</v>
      </c>
      <c r="EE298" s="5">
        <f t="shared" si="26"/>
        <v>59063.783783783801</v>
      </c>
      <c r="EF298" s="5">
        <f t="shared" si="26"/>
        <v>59991.066666666688</v>
      </c>
      <c r="EG298" s="5">
        <f t="shared" si="26"/>
        <v>60194.848214285739</v>
      </c>
      <c r="EH298" s="5">
        <f t="shared" si="26"/>
        <v>60063.355932203398</v>
      </c>
    </row>
    <row r="299" spans="4:138" customFormat="1" x14ac:dyDescent="0.25">
      <c r="D299" s="5" t="s">
        <v>31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>
        <f>MAX(DK5:DK260)*12</f>
        <v>1916285</v>
      </c>
      <c r="DL299" s="5">
        <f>MAX(DL5:DL260)*12</f>
        <v>1916285</v>
      </c>
      <c r="DM299" s="5">
        <f>MAX(DM5:DM260)*12</f>
        <v>1916285</v>
      </c>
      <c r="DN299" s="5">
        <f>MAX(DN5:DN260)*12</f>
        <v>1949784</v>
      </c>
      <c r="DO299" s="5">
        <f>MAX(DO5:DO260)*12</f>
        <v>1949784</v>
      </c>
      <c r="DP299" s="5">
        <f>MAX(DP5:DP260)*12</f>
        <v>1949784</v>
      </c>
      <c r="DQ299" s="5">
        <f>MAX(DQ5:DQ260)*12</f>
        <v>2159156</v>
      </c>
      <c r="DR299" s="5">
        <f>MAX(DR5:DR260)*12</f>
        <v>2159156</v>
      </c>
      <c r="DS299" s="5">
        <f>MAX(DS5:DS260)*12</f>
        <v>2159156</v>
      </c>
      <c r="DT299" s="5">
        <f>MAX(DT5:DT260)*12</f>
        <v>2253092</v>
      </c>
      <c r="DU299" s="5">
        <f>MAX(DU5:DU260)*12</f>
        <v>2253092</v>
      </c>
      <c r="DV299" s="5">
        <f>MAX(DV5:DV260)*12</f>
        <v>2253092</v>
      </c>
      <c r="DW299" s="5">
        <f>MAX(DW5:DW260)*12</f>
        <v>1986474</v>
      </c>
      <c r="DX299" s="5">
        <f>MAX(DX5:DX260)*12</f>
        <v>1986474</v>
      </c>
      <c r="DY299" s="5">
        <f>MAX(DY5:DY260)*12</f>
        <v>1986474</v>
      </c>
      <c r="DZ299" s="5">
        <f>MAX(DZ5:DZ260)*12</f>
        <v>1986474</v>
      </c>
      <c r="EA299" s="5">
        <f>MAX(EA5:EA260)*12</f>
        <v>1986474</v>
      </c>
      <c r="EB299" s="5">
        <f>MAX(EB5:EB260)*12</f>
        <v>1986474</v>
      </c>
      <c r="EC299" s="5">
        <f>MAX(EC5:EC260)*12</f>
        <v>1986474</v>
      </c>
      <c r="ED299" s="5">
        <f>MAX(ED5:ED260)*12</f>
        <v>1986474</v>
      </c>
      <c r="EE299" s="5">
        <f>MAX(EE5:EE260)*12</f>
        <v>1986474</v>
      </c>
      <c r="EF299" s="5">
        <f>MAX(EF5:EF260)*12</f>
        <v>1986474</v>
      </c>
      <c r="EG299" s="5">
        <f>MAX(EG5:EG260)*12</f>
        <v>1986474</v>
      </c>
      <c r="EH299" s="5">
        <f>MAX(EH5:EH260)*12</f>
        <v>1986474</v>
      </c>
    </row>
    <row r="300" spans="4:138" customFormat="1" x14ac:dyDescent="0.25">
      <c r="D300" s="5" t="s">
        <v>32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13">
        <f t="shared" ref="DK300:EG300" si="27">DK299/DK270</f>
        <v>0.53326036878542138</v>
      </c>
      <c r="DL300" s="13">
        <f t="shared" si="27"/>
        <v>0.51266352764921475</v>
      </c>
      <c r="DM300" s="13">
        <f t="shared" si="27"/>
        <v>0.50719468826987635</v>
      </c>
      <c r="DN300" s="13">
        <f t="shared" si="27"/>
        <v>0.50745243928179451</v>
      </c>
      <c r="DO300" s="13">
        <f t="shared" si="27"/>
        <v>0.49911812695797575</v>
      </c>
      <c r="DP300" s="13">
        <f t="shared" si="27"/>
        <v>0.4956710413422733</v>
      </c>
      <c r="DQ300" s="13">
        <f t="shared" si="27"/>
        <v>0.53932585392294363</v>
      </c>
      <c r="DR300" s="13">
        <f t="shared" si="27"/>
        <v>0.52871674608272212</v>
      </c>
      <c r="DS300" s="13">
        <f t="shared" si="27"/>
        <v>0.52486677514912283</v>
      </c>
      <c r="DT300" s="13">
        <f t="shared" si="27"/>
        <v>0.46686976295256855</v>
      </c>
      <c r="DU300" s="13">
        <f t="shared" si="27"/>
        <v>0.46390023484376486</v>
      </c>
      <c r="DV300" s="13">
        <f t="shared" si="27"/>
        <v>0.45185730235158761</v>
      </c>
      <c r="DW300" s="13">
        <f t="shared" si="27"/>
        <v>0.39450164942176402</v>
      </c>
      <c r="DX300" s="13">
        <f t="shared" si="27"/>
        <v>0.37438188016984514</v>
      </c>
      <c r="DY300" s="13">
        <f t="shared" si="27"/>
        <v>0.363993073688261</v>
      </c>
      <c r="DZ300" s="13">
        <f t="shared" si="27"/>
        <v>0.36218871692170024</v>
      </c>
      <c r="EA300" s="13">
        <f t="shared" si="27"/>
        <v>0.35957000909752085</v>
      </c>
      <c r="EB300" s="13">
        <f t="shared" si="27"/>
        <v>0.33413887676396603</v>
      </c>
      <c r="EC300" s="13">
        <f t="shared" si="27"/>
        <v>0.33439908127847334</v>
      </c>
      <c r="ED300" s="13">
        <f t="shared" si="27"/>
        <v>0.33051420630712219</v>
      </c>
      <c r="EE300" s="13">
        <f t="shared" si="27"/>
        <v>0.30299721784969058</v>
      </c>
      <c r="EF300" s="13">
        <f t="shared" si="27"/>
        <v>0.31536028697606078</v>
      </c>
      <c r="EG300" s="13">
        <f t="shared" si="27"/>
        <v>0.29464938489189041</v>
      </c>
      <c r="EH300" s="13">
        <f>EH299/EH270</f>
        <v>0.28027946761301192</v>
      </c>
    </row>
    <row r="301" spans="4:138" customFormat="1" x14ac:dyDescent="0.25">
      <c r="D301" s="5" t="s">
        <v>33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 t="str">
        <f t="array" ref="DK301">IF(ISERROR(SUM(CZ296:DK296,CZ294)/CZ294),"---",SUM(CZ296:DK296,CZ294)/CZ294)</f>
        <v>---</v>
      </c>
      <c r="DL301" s="14" t="str">
        <f t="array" ref="DL301">IF(ISERROR(SUM(DA296:DL296,DA294)/DA294),"---",SUM(DA296:DL296,DA294)/DA294)</f>
        <v>---</v>
      </c>
      <c r="DM301" s="14" t="str">
        <f t="array" ref="DM301">IF(ISERROR(SUM(DB296:DM296,DB294)/DB294),"---",SUM(DB296:DM296,DB294)/DB294)</f>
        <v>---</v>
      </c>
      <c r="DN301" s="14" t="str">
        <f t="array" ref="DN301">IF(ISERROR(SUM(DC296:DN296,DC294)/DC294),"---",SUM(DC296:DN296,DC294)/DC294)</f>
        <v>---</v>
      </c>
      <c r="DO301" s="14" t="str">
        <f t="array" ref="DO301">IF(ISERROR(SUM(DD296:DO296,DD294)/DD294),"---",SUM(DD296:DO296,DD294)/DD294)</f>
        <v>---</v>
      </c>
      <c r="DP301" s="14" t="str">
        <f t="array" ref="DP301">IF(ISERROR(SUM(DE296:DP296,DE294)/DE294),"---",SUM(DE296:DP296,DE294)/DE294)</f>
        <v>---</v>
      </c>
      <c r="DQ301" s="14" t="str">
        <f t="array" ref="DQ301">IF(ISERROR(SUM(DF296:DQ296,DF294)/DF294),"---",SUM(DF296:DQ296,DF294)/DF294)</f>
        <v>---</v>
      </c>
      <c r="DR301" s="14" t="str">
        <f t="array" ref="DR301">IF(ISERROR(SUM(DG296:DR296,DG294)/DG294),"---",SUM(DG296:DR296,DG294)/DG294)</f>
        <v>---</v>
      </c>
      <c r="DS301" s="14" t="str">
        <f t="array" ref="DS301">IF(ISERROR(SUM(DH296:DS296,DH294)/DH294),"---",SUM(DH296:DS296,DH294)/DH294)</f>
        <v>---</v>
      </c>
      <c r="DT301" s="14" t="str">
        <f t="array" ref="DT301">IF(ISERROR(SUM(DI296:DT296,DI294)/DI294),"---",SUM(DI296:DT296,DI294)/DI294)</f>
        <v>---</v>
      </c>
      <c r="DU301" s="14" t="str">
        <f t="array" ref="DU301">IF(ISERROR(SUM(DJ296:DU296,DJ294)/DJ294),"---",SUM(DJ296:DU296,DJ294)/DJ294)</f>
        <v>---</v>
      </c>
      <c r="DV301" s="14" t="str">
        <f t="array" ref="DV301">IF(ISERROR(SUM(DK296:DV296,DK294)/DK294),"---",SUM(DK296:DV296,DK294)/DK294)</f>
        <v>---</v>
      </c>
      <c r="DW301" s="14">
        <f t="array" ref="DW301">IF(ISERROR(SUM(DL296:DW296,DL294)/DL294),"---",SUM(DL296:DW296,DL294)/DL294)</f>
        <v>0.647887323943662</v>
      </c>
      <c r="DX301" s="14">
        <f t="array" ref="DX301">IF(ISERROR(SUM(DM296:DX296,DM294)/DM294),"---",SUM(DM296:DX296,DM294)/DM294)</f>
        <v>0.64473684210526316</v>
      </c>
      <c r="DY301" s="14">
        <f t="array" ref="DY301">IF(ISERROR(SUM(DN296:DY296,DN294)/DN294),"---",SUM(DN296:DY296,DN294)/DN294)</f>
        <v>0.65</v>
      </c>
      <c r="DZ301" s="14">
        <f t="array" ref="DZ301">IF(ISERROR(SUM(DO296:DZ296,DO294)/DO294),"---",SUM(DO296:DZ296,DO294)/DO294)</f>
        <v>0.6506024096385542</v>
      </c>
      <c r="EA301" s="14">
        <f t="array" ref="EA301">IF(ISERROR(SUM(DP296:EA296,DP294)/DP294),"---",SUM(DP296:EA296,DP294)/DP294)</f>
        <v>0.67441860465116277</v>
      </c>
      <c r="EB301" s="14">
        <f t="array" ref="EB301">IF(ISERROR(SUM(DQ296:EB296,DQ294)/DQ294),"---",SUM(DQ296:EB296,DQ294)/DQ294)</f>
        <v>0.66666666666666663</v>
      </c>
      <c r="EC301" s="14">
        <f t="array" ref="EC301">IF(ISERROR(SUM(DR296:EC296,DR294)/DR294),"---",SUM(DR296:EC296,DR294)/DR294)</f>
        <v>0.71739130434782605</v>
      </c>
      <c r="ED301" s="14">
        <f t="array" ref="ED301">IF(ISERROR(SUM(DS296:ED296,DS294)/DS294),"---",SUM(DS296:ED296,DS294)/DS294)</f>
        <v>0.73737373737373735</v>
      </c>
      <c r="EE301" s="14">
        <f t="array" ref="EE301">IF(ISERROR(SUM(DT296:EE296,DT294)/DT294),"---",SUM(DT296:EE296,DT294)/DT294)</f>
        <v>0.78</v>
      </c>
      <c r="EF301" s="14">
        <f t="array" ref="EF301">IF(ISERROR(SUM(DU296:EF296,DU294)/DU294),"---",SUM(DU296:EF296,DU294)/DU294)</f>
        <v>0.74489795918367352</v>
      </c>
      <c r="EG301" s="14">
        <f t="array" ref="EG301">IF(ISERROR(SUM(DV296:EG296,DV294)/DV294),"---",SUM(DV296:EG296,DV294)/DV294)</f>
        <v>0.75757575757575757</v>
      </c>
      <c r="EH301" s="14">
        <f t="array" ref="EH301">IF(ISERROR(SUM(DW296:EH296,DW294)/DW294),"---",SUM(DW296:EH296,DW294)/DW294)</f>
        <v>0.8</v>
      </c>
    </row>
    <row r="302" spans="4:138" customFormat="1" x14ac:dyDescent="0.25">
      <c r="D302" s="4" t="s">
        <v>34</v>
      </c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14"/>
      <c r="DK302" s="14" t="str">
        <f t="shared" ref="DK302:EH302" si="28">IF(ISERROR(DK297/CY297-1),"---",DK297/CY297-1)</f>
        <v>---</v>
      </c>
      <c r="DL302" s="14" t="str">
        <f t="shared" si="28"/>
        <v>---</v>
      </c>
      <c r="DM302" s="14" t="str">
        <f t="shared" si="28"/>
        <v>---</v>
      </c>
      <c r="DN302" s="14" t="str">
        <f t="shared" si="28"/>
        <v>---</v>
      </c>
      <c r="DO302" s="14" t="str">
        <f t="shared" si="28"/>
        <v>---</v>
      </c>
      <c r="DP302" s="14" t="str">
        <f t="shared" si="28"/>
        <v>---</v>
      </c>
      <c r="DQ302" s="14" t="str">
        <f t="shared" si="28"/>
        <v>---</v>
      </c>
      <c r="DR302" s="14" t="str">
        <f t="shared" si="28"/>
        <v>---</v>
      </c>
      <c r="DS302" s="14" t="str">
        <f t="shared" si="28"/>
        <v>---</v>
      </c>
      <c r="DT302" s="14" t="str">
        <f t="shared" si="28"/>
        <v>---</v>
      </c>
      <c r="DU302" s="14" t="str">
        <f t="shared" si="28"/>
        <v>---</v>
      </c>
      <c r="DV302" s="14" t="str">
        <f t="shared" si="28"/>
        <v>---</v>
      </c>
      <c r="DW302" s="14">
        <f t="shared" si="28"/>
        <v>0.323943661971831</v>
      </c>
      <c r="DX302" s="14">
        <f t="shared" si="28"/>
        <v>0.23684210526315796</v>
      </c>
      <c r="DY302" s="14">
        <f t="shared" si="28"/>
        <v>0.22500000000000009</v>
      </c>
      <c r="DZ302" s="14">
        <f t="shared" si="28"/>
        <v>0.15662650602409633</v>
      </c>
      <c r="EA302" s="14">
        <f t="shared" si="28"/>
        <v>0.13953488372093026</v>
      </c>
      <c r="EB302" s="14">
        <f t="shared" si="28"/>
        <v>0.15555555555555545</v>
      </c>
      <c r="EC302" s="14">
        <f t="shared" si="28"/>
        <v>0.13043478260869557</v>
      </c>
      <c r="ED302" s="14">
        <f t="shared" si="28"/>
        <v>8.0808080808080884E-2</v>
      </c>
      <c r="EE302" s="14">
        <f t="shared" si="28"/>
        <v>0.1100000000000001</v>
      </c>
      <c r="EF302" s="14">
        <f t="shared" si="28"/>
        <v>7.1428571428571397E-2</v>
      </c>
      <c r="EG302" s="14">
        <f t="shared" si="28"/>
        <v>0.13131313131313127</v>
      </c>
      <c r="EH302" s="14">
        <f t="shared" si="28"/>
        <v>0.24210526315789482</v>
      </c>
    </row>
    <row r="303" spans="4:138" customFormat="1" x14ac:dyDescent="0.25"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</row>
    <row r="304" spans="4:138" customFormat="1" x14ac:dyDescent="0.25"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</row>
    <row r="305" spans="4:140" customFormat="1" x14ac:dyDescent="0.25"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</row>
    <row r="306" spans="4:140" customFormat="1" x14ac:dyDescent="0.25">
      <c r="D306" s="19" t="s">
        <v>35</v>
      </c>
      <c r="E306" s="2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</row>
    <row r="307" spans="4:140" customFormat="1" x14ac:dyDescent="0.25">
      <c r="D307" s="21" t="s">
        <v>36</v>
      </c>
      <c r="E307" s="5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>
        <v>-220572</v>
      </c>
      <c r="DL307" s="5">
        <v>-257643</v>
      </c>
      <c r="DM307" s="5">
        <v>-353196</v>
      </c>
      <c r="DN307" s="5">
        <v>-209683</v>
      </c>
      <c r="DO307" s="5">
        <v>-227588</v>
      </c>
      <c r="DP307" s="5">
        <v>-291162</v>
      </c>
      <c r="DQ307" s="5">
        <v>-83568</v>
      </c>
      <c r="DR307" s="5">
        <v>-104942</v>
      </c>
      <c r="DS307" s="5">
        <v>-87108</v>
      </c>
      <c r="DT307" s="5">
        <v>-131859</v>
      </c>
      <c r="DU307" s="5">
        <v>-28307</v>
      </c>
      <c r="DV307" s="5">
        <v>-410595</v>
      </c>
      <c r="DW307" s="5">
        <v>60330</v>
      </c>
      <c r="DX307" s="5">
        <v>105343</v>
      </c>
      <c r="DY307" s="5">
        <v>9540</v>
      </c>
      <c r="DZ307" s="5">
        <v>-20126</v>
      </c>
      <c r="EA307" s="5">
        <v>-13677</v>
      </c>
      <c r="EB307" s="5">
        <v>-68149</v>
      </c>
      <c r="EC307" s="5">
        <v>30819</v>
      </c>
      <c r="ED307" s="5">
        <v>-120134</v>
      </c>
      <c r="EE307" s="5">
        <v>31403</v>
      </c>
      <c r="EF307" s="5">
        <v>271600</v>
      </c>
      <c r="EG307" s="5">
        <v>8195</v>
      </c>
      <c r="EH307" s="5">
        <v>-52746</v>
      </c>
    </row>
    <row r="308" spans="4:140" customFormat="1" x14ac:dyDescent="0.25">
      <c r="D308" s="21" t="s">
        <v>37</v>
      </c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>
        <f t="shared" ref="DK308:EH308" si="29">IF(ISERROR(DK272/SUM(CZ307:DK307)*-1),"---",DK272/SUM(CZ307:DK307)*-1)</f>
        <v>16.291850280180622</v>
      </c>
      <c r="DL308" s="22">
        <f t="shared" si="29"/>
        <v>7.816358750771097</v>
      </c>
      <c r="DM308" s="22">
        <f t="shared" si="29"/>
        <v>4.5443276550346345</v>
      </c>
      <c r="DN308" s="22">
        <f t="shared" si="29"/>
        <v>3.6906360040495869</v>
      </c>
      <c r="DO308" s="22">
        <f t="shared" si="29"/>
        <v>3.0791467050056673</v>
      </c>
      <c r="DP308" s="22">
        <f t="shared" si="29"/>
        <v>2.5218066678462723</v>
      </c>
      <c r="DQ308" s="22">
        <f t="shared" si="29"/>
        <v>2.4360507286060953</v>
      </c>
      <c r="DR308" s="22">
        <f t="shared" si="29"/>
        <v>2.3357781090099601</v>
      </c>
      <c r="DS308" s="22">
        <f t="shared" si="29"/>
        <v>2.2412460731957404</v>
      </c>
      <c r="DT308" s="22">
        <f t="shared" si="29"/>
        <v>2.4530587535028601</v>
      </c>
      <c r="DU308" s="22">
        <f t="shared" si="29"/>
        <v>2.4337431625533417</v>
      </c>
      <c r="DV308" s="22">
        <f t="shared" si="29"/>
        <v>2.0722480834070658</v>
      </c>
      <c r="DW308" s="22">
        <f t="shared" si="29"/>
        <v>0.67842692939090143</v>
      </c>
      <c r="DX308" s="22">
        <f t="shared" si="29"/>
        <v>0.88979110101087477</v>
      </c>
      <c r="DY308" s="22">
        <f t="shared" si="29"/>
        <v>1.1998050870284986</v>
      </c>
      <c r="DZ308" s="22">
        <f t="shared" si="29"/>
        <v>1.357257847248277</v>
      </c>
      <c r="EA308" s="22">
        <f t="shared" si="29"/>
        <v>1.6244088377934227</v>
      </c>
      <c r="EB308" s="22">
        <f t="shared" si="29"/>
        <v>2.601711511050059</v>
      </c>
      <c r="EC308" s="22">
        <f t="shared" si="29"/>
        <v>2.9404931603340354</v>
      </c>
      <c r="ED308" s="22">
        <f t="shared" si="29"/>
        <v>2.8586144114386953</v>
      </c>
      <c r="EE308" s="22">
        <f t="shared" si="29"/>
        <v>4.3973806831685343</v>
      </c>
      <c r="EF308" s="22">
        <f t="shared" si="29"/>
        <v>9.6944976407178665</v>
      </c>
      <c r="EG308" s="22">
        <f t="shared" si="29"/>
        <v>16.327073823526881</v>
      </c>
      <c r="EH308" s="22">
        <f t="shared" si="29"/>
        <v>-8.6683264713405297</v>
      </c>
      <c r="EI308" s="22"/>
      <c r="EJ308" s="22"/>
    </row>
    <row r="309" spans="4:140" customFormat="1" x14ac:dyDescent="0.25">
      <c r="D309" s="23" t="s">
        <v>38</v>
      </c>
      <c r="E309" s="5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>
        <f t="shared" ref="DK309:EC309" si="30">IF(DK308="---","---",1/DK308)</f>
        <v>6.138038238766047E-2</v>
      </c>
      <c r="DL309" s="24">
        <f t="shared" si="30"/>
        <v>0.12793680943845473</v>
      </c>
      <c r="DM309" s="24">
        <f t="shared" si="30"/>
        <v>0.22005455502138049</v>
      </c>
      <c r="DN309" s="24">
        <f t="shared" si="30"/>
        <v>0.27095600836894784</v>
      </c>
      <c r="DO309" s="24">
        <f t="shared" si="30"/>
        <v>0.32476529889736433</v>
      </c>
      <c r="DP309" s="24">
        <f t="shared" si="30"/>
        <v>0.39654110394356346</v>
      </c>
      <c r="DQ309" s="24">
        <f t="shared" si="30"/>
        <v>0.41050048271047235</v>
      </c>
      <c r="DR309" s="24">
        <f t="shared" si="30"/>
        <v>0.42812285813563805</v>
      </c>
      <c r="DS309" s="24">
        <f t="shared" si="30"/>
        <v>0.44618036901861624</v>
      </c>
      <c r="DT309" s="24">
        <f t="shared" si="30"/>
        <v>0.40765432078299957</v>
      </c>
      <c r="DU309" s="24">
        <f t="shared" si="30"/>
        <v>0.4108897008470106</v>
      </c>
      <c r="DV309" s="24">
        <f t="shared" si="30"/>
        <v>0.48256770413118688</v>
      </c>
      <c r="DW309" s="24">
        <f t="shared" si="30"/>
        <v>1.4739980927611616</v>
      </c>
      <c r="DX309" s="24">
        <f t="shared" si="30"/>
        <v>1.1238592955851312</v>
      </c>
      <c r="DY309" s="24">
        <f t="shared" si="30"/>
        <v>0.83346871155268509</v>
      </c>
      <c r="DZ309" s="24">
        <f t="shared" si="30"/>
        <v>0.73677967825156698</v>
      </c>
      <c r="EA309" s="24">
        <f t="shared" si="30"/>
        <v>0.6156085689353844</v>
      </c>
      <c r="EB309" s="24">
        <f t="shared" si="30"/>
        <v>0.3843623690608175</v>
      </c>
      <c r="EC309" s="24">
        <f t="shared" si="30"/>
        <v>0.34007900902119481</v>
      </c>
      <c r="ED309" s="24">
        <f>IF(ED308="---","---",1/ED308)</f>
        <v>0.34981982739557932</v>
      </c>
      <c r="EE309" s="24">
        <f>IF(EE308="---","---",1/EE308)</f>
        <v>0.22740810315277268</v>
      </c>
      <c r="EF309" s="24">
        <f>IF(EF308="---","---",1/EF308)</f>
        <v>0.10315129644262322</v>
      </c>
      <c r="EG309" s="24">
        <f t="shared" ref="EG309:EH309" si="31">IF(EG308="---","---",1/EG308)</f>
        <v>6.1247962176726761E-2</v>
      </c>
      <c r="EH309" s="24">
        <f t="shared" si="31"/>
        <v>-0.11536252162470216</v>
      </c>
      <c r="EI309" s="24"/>
      <c r="EJ309" s="24"/>
    </row>
    <row r="310" spans="4:140" customFormat="1" x14ac:dyDescent="0.25"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</row>
    <row r="311" spans="4:140" customFormat="1" x14ac:dyDescent="0.25">
      <c r="D311" s="21" t="s">
        <v>39</v>
      </c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>
        <f t="shared" ref="DK311:EH311" si="32">IF(ISERROR((SUM(DF263:DK266)*12)/SUM(DF307:DK307)*-1),"---",(SUM(DF263:DK266)*12)/SUM(DF307:DK307)*-1)</f>
        <v>16.291850280180622</v>
      </c>
      <c r="DL311" s="22">
        <f t="shared" si="32"/>
        <v>7.816358750771097</v>
      </c>
      <c r="DM311" s="22">
        <f t="shared" si="32"/>
        <v>4.5443276550346345</v>
      </c>
      <c r="DN311" s="22">
        <f t="shared" si="32"/>
        <v>3.6906360040495869</v>
      </c>
      <c r="DO311" s="22">
        <f t="shared" si="32"/>
        <v>3.0791467050056673</v>
      </c>
      <c r="DP311" s="22">
        <f t="shared" si="32"/>
        <v>2.5218066678462723</v>
      </c>
      <c r="DQ311" s="22">
        <f t="shared" si="32"/>
        <v>0.28809212560793901</v>
      </c>
      <c r="DR311" s="22">
        <f t="shared" si="32"/>
        <v>0.27230641685673784</v>
      </c>
      <c r="DS311" s="22">
        <f t="shared" si="32"/>
        <v>0.3341643004190028</v>
      </c>
      <c r="DT311" s="22">
        <f t="shared" si="32"/>
        <v>1.0620020794038607</v>
      </c>
      <c r="DU311" s="22">
        <f t="shared" si="32"/>
        <v>1.307370836348229</v>
      </c>
      <c r="DV311" s="22">
        <f t="shared" si="32"/>
        <v>1.2437288732352758</v>
      </c>
      <c r="DW311" s="22">
        <f t="shared" si="32"/>
        <v>1.4690304791161608</v>
      </c>
      <c r="DX311" s="22">
        <f t="shared" si="32"/>
        <v>2.483244479841364</v>
      </c>
      <c r="DY311" s="22">
        <f t="shared" si="32"/>
        <v>3.3971300575404251</v>
      </c>
      <c r="DZ311" s="22">
        <f t="shared" si="32"/>
        <v>2.3208216619981328</v>
      </c>
      <c r="EA311" s="22">
        <f t="shared" si="32"/>
        <v>2.480583984991735</v>
      </c>
      <c r="EB311" s="22">
        <f t="shared" si="32"/>
        <v>-13.086963049917422</v>
      </c>
      <c r="EC311" s="22">
        <f t="shared" si="32"/>
        <v>-20.686354285714287</v>
      </c>
      <c r="ED311" s="22">
        <f t="shared" si="32"/>
        <v>3.8752799528963768</v>
      </c>
      <c r="EE311" s="22">
        <f t="shared" si="32"/>
        <v>6.8722789370965307</v>
      </c>
      <c r="EF311" s="22">
        <f t="shared" si="32"/>
        <v>-6.1763358662844468</v>
      </c>
      <c r="EG311" s="22">
        <f t="shared" si="32"/>
        <v>-7.9178386043425641</v>
      </c>
      <c r="EH311" s="22">
        <f t="shared" si="32"/>
        <v>-6.7544121037975149</v>
      </c>
    </row>
    <row r="312" spans="4:140" customFormat="1" x14ac:dyDescent="0.25">
      <c r="D312" s="23" t="s">
        <v>38</v>
      </c>
      <c r="E312" s="5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>
        <f t="shared" ref="DK312:EC312" si="33">IF(DK311="---","---",1/DK311)</f>
        <v>6.138038238766047E-2</v>
      </c>
      <c r="DL312" s="24">
        <f t="shared" si="33"/>
        <v>0.12793680943845473</v>
      </c>
      <c r="DM312" s="24">
        <f t="shared" si="33"/>
        <v>0.22005455502138049</v>
      </c>
      <c r="DN312" s="24">
        <f t="shared" si="33"/>
        <v>0.27095600836894784</v>
      </c>
      <c r="DO312" s="24">
        <f t="shared" si="33"/>
        <v>0.32476529889736433</v>
      </c>
      <c r="DP312" s="24">
        <f t="shared" si="33"/>
        <v>0.39654110394356346</v>
      </c>
      <c r="DQ312" s="24">
        <f t="shared" si="33"/>
        <v>3.4711118809296702</v>
      </c>
      <c r="DR312" s="24">
        <f t="shared" si="33"/>
        <v>3.6723335848751093</v>
      </c>
      <c r="DS312" s="24">
        <f t="shared" si="33"/>
        <v>2.9925398935377521</v>
      </c>
      <c r="DT312" s="24">
        <f t="shared" si="33"/>
        <v>0.94161774199287385</v>
      </c>
      <c r="DU312" s="24">
        <f t="shared" si="33"/>
        <v>0.76489391701073695</v>
      </c>
      <c r="DV312" s="24">
        <f t="shared" si="33"/>
        <v>0.80403375809611066</v>
      </c>
      <c r="DW312" s="24">
        <f t="shared" si="33"/>
        <v>0.68072107026781903</v>
      </c>
      <c r="DX312" s="24">
        <f t="shared" si="33"/>
        <v>0.40269897229928908</v>
      </c>
      <c r="DY312" s="24">
        <f t="shared" si="33"/>
        <v>0.29436612171510901</v>
      </c>
      <c r="DZ312" s="24">
        <f t="shared" si="33"/>
        <v>0.43088187962664948</v>
      </c>
      <c r="EA312" s="24">
        <f t="shared" si="33"/>
        <v>0.40313087807157305</v>
      </c>
      <c r="EB312" s="24">
        <f t="shared" si="33"/>
        <v>-7.6411922016262582E-2</v>
      </c>
      <c r="EC312" s="24">
        <f t="shared" si="33"/>
        <v>-4.8341045801897839E-2</v>
      </c>
      <c r="ED312" s="24">
        <f>IF(ED311="---","---",1/ED311)</f>
        <v>0.2580458733704134</v>
      </c>
      <c r="EE312" s="24">
        <f>IF(EE311="---","---",1/EE311)</f>
        <v>0.14551213784440625</v>
      </c>
      <c r="EF312" s="24">
        <f>IF(EF311="---","---",1/EF311)</f>
        <v>-0.16190829346875835</v>
      </c>
      <c r="EG312" s="24">
        <f t="shared" ref="EG312:EH312" si="34">IF(EG311="---","---",1/EG311)</f>
        <v>-0.12629709318039734</v>
      </c>
      <c r="EH312" s="24">
        <f t="shared" si="34"/>
        <v>-0.14805137510602481</v>
      </c>
    </row>
    <row r="313" spans="4:140" s="5" customFormat="1" x14ac:dyDescent="0.25"/>
    <row r="314" spans="4:140" s="5" customFormat="1" x14ac:dyDescent="0.25"/>
    <row r="315" spans="4:140" s="5" customFormat="1" x14ac:dyDescent="0.25"/>
    <row r="316" spans="4:140" s="5" customFormat="1" x14ac:dyDescent="0.25"/>
    <row r="317" spans="4:140" s="5" customFormat="1" x14ac:dyDescent="0.25"/>
    <row r="318" spans="4:140" s="5" customFormat="1" x14ac:dyDescent="0.25"/>
    <row r="319" spans="4:140" s="5" customFormat="1" x14ac:dyDescent="0.25"/>
    <row r="320" spans="4:14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</sheetData>
  <conditionalFormatting sqref="G278:EH278 CM307:EH307">
    <cfRule type="cellIs" dxfId="0" priority="1" operator="lessThan">
      <formula>0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MRR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 bright</dc:creator>
  <cp:lastModifiedBy>jenn bright</cp:lastModifiedBy>
  <dcterms:created xsi:type="dcterms:W3CDTF">2026-02-12T20:40:10Z</dcterms:created>
  <dcterms:modified xsi:type="dcterms:W3CDTF">2026-02-12T20:46:49Z</dcterms:modified>
</cp:coreProperties>
</file>